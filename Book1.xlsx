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0F4F4D4B-6568-4E11-A8E1-75025C0E3B4A}" xr6:coauthVersionLast="47" xr6:coauthVersionMax="47" xr10:uidLastSave="{00000000-0000-0000-0000-000000000000}"/>
  <bookViews>
    <workbookView xWindow="-108" yWindow="-108" windowWidth="23256" windowHeight="12456" tabRatio="716" xr2:uid="{D7E4BE15-1BDB-4CB5-815B-99F3CF413FEE}"/>
  </bookViews>
  <sheets>
    <sheet name="Sheet6" sheetId="6" r:id="rId1"/>
    <sheet name="Sheet7" sheetId="7" r:id="rId2"/>
    <sheet name="Pivot Report" sheetId="1" r:id="rId3"/>
    <sheet name="Sheet5" sheetId="5" r:id="rId4"/>
    <sheet name="Sheet4" sheetId="4" r:id="rId5"/>
    <sheet name="Sheet3" sheetId="3" r:id="rId6"/>
    <sheet name="Sheet2" sheetId="2" r:id="rId7"/>
  </sheets>
  <definedNames>
    <definedName name="ExternalData_1" localSheetId="0" hidden="1">Sheet6!$A$3:$N$22</definedName>
    <definedName name="ExternalData_1" localSheetId="1" hidden="1">Sheet7!$A$3:$N$23</definedName>
    <definedName name="Slicer_Date__Month">#N/A</definedName>
    <definedName name="Slicer_Date__Year">#N/A</definedName>
  </definedNames>
  <calcPr calcId="191029"/>
  <pivotCaches>
    <pivotCache cacheId="3470" r:id="rId8"/>
    <pivotCache cacheId="3473" r:id="rId9"/>
    <pivotCache cacheId="3476" r:id="rId10"/>
    <pivotCache cacheId="3479" r:id="rId11"/>
    <pivotCache cacheId="3482" r:id="rId12"/>
    <pivotCache cacheId="3485" r:id="rId13"/>
    <pivotCache cacheId="3488" r:id="rId14"/>
    <pivotCache cacheId="3491" r:id="rId15"/>
    <pivotCache cacheId="3494" r:id="rId16"/>
    <pivotCache cacheId="3497" r:id="rId17"/>
    <pivotCache cacheId="3500" r:id="rId18"/>
    <pivotCache cacheId="3503" r:id="rId19"/>
  </pivotCaches>
  <extLst>
    <ext xmlns:x14="http://schemas.microsoft.com/office/spreadsheetml/2009/9/main" uri="{876F7934-8845-4945-9796-88D515C7AA90}">
      <x14:pivotCaches>
        <pivotCache cacheId="219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3a59b1d-abce-49f7-937d-f73135899549" name="Hospital Emergency Room Data" connection="Query - Hospital Emergency Room Data"/>
          <x15:modelTable id="Calendar_table_4dd4233b-1aa2-44ea-9815-46fb47159c0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1" l="1"/>
  <c r="B50" i="1"/>
  <c r="C50" i="1"/>
  <c r="A51" i="1"/>
  <c r="B51" i="1"/>
  <c r="C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0F3781-2E31-4F29-9A48-E87F10980422}" keepAlive="1" name="ModelConnection_ExternalData_1" description="Data Model" type="5" refreshedVersion="8" minRefreshableVersion="5" saveData="1">
    <dbPr connection="Data Model Connection" command="DRILLTHROUGH MAXROWS 1000 SELECT FROM [Model] WHERE (([Calendar_table].[Date (Month)].&amp;[Aug],[Measures].[Count of Calculated Column 1],[Hospital Emergency Room Data].[Patient Waittime].&amp;[10],[Hospital Emergency Room Data].[Calculated Column 1].&amp;[On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Calculated Column 1]" commandType="4"/>
    <extLst>
      <ext xmlns:x15="http://schemas.microsoft.com/office/spreadsheetml/2010/11/main" uri="{DE250136-89BD-433C-8126-D09CA5730AF9}">
        <x15:connection id="" model="1"/>
      </ext>
    </extLst>
  </connection>
  <connection id="2" xr16:uid="{425EDD76-2989-4A23-8D41-E889FE83A820}" keepAlive="1" name="ModelConnection_ExternalData_11" description="Data Model" type="5" refreshedVersion="8" minRefreshableVersion="5" saveData="1">
    <dbPr connection="Data Model Connection" command="DRILLTHROUGH MAXROWS 1000 SELECT FROM [Model] WHERE (([Calendar_table].[Date (Month)].&amp;[Apr],[Measures].[Count of Department Referral],[Hospital Emergency Room Data].[Department Referral].&amp;[Gastroenter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Calculated Column 1]" commandType="4"/>
    <extLst>
      <ext xmlns:x15="http://schemas.microsoft.com/office/spreadsheetml/2010/11/main" uri="{DE250136-89BD-433C-8126-D09CA5730AF9}">
        <x15:connection id="" model="1"/>
      </ext>
    </extLst>
  </connection>
  <connection id="3" xr16:uid="{C83F07B4-A558-492A-BBA1-E16183FC7C64}" name="Query - Calendar_table" description="Connection to the 'Calendar_table' query in the workbook." type="100" refreshedVersion="8" minRefreshableVersion="5">
    <extLst>
      <ext xmlns:x15="http://schemas.microsoft.com/office/spreadsheetml/2010/11/main" uri="{DE250136-89BD-433C-8126-D09CA5730AF9}">
        <x15:connection id="1fcaba98-35d6-4239-9b6e-888554a2c434"/>
      </ext>
    </extLst>
  </connection>
  <connection id="4" xr16:uid="{6B71EB99-24CC-4BC6-BCCD-22E764D6CC8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56a56e4-23aa-46d4-a9ce-e8faaf52a7d2"/>
      </ext>
    </extLst>
  </connection>
  <connection id="5" xr16:uid="{FA3C8EDC-6700-4DD9-8512-2ECF4F2E55D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<sst xmlns="http://schemas.openxmlformats.org/spreadsheetml/2006/main" count="491" uniqueCount="170">
  <si>
    <t>Distinct Count of Patient Id</t>
  </si>
  <si>
    <t>Average of Patient Waittime</t>
  </si>
  <si>
    <t>Average of Patient Satisfaction Score</t>
  </si>
  <si>
    <t>Row Labels</t>
  </si>
  <si>
    <t>Grand Total</t>
  </si>
  <si>
    <t>2023</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</si>
  <si>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</si>
  <si>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</si>
  <si>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</si>
  <si>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</si>
  <si>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</si>
  <si>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</si>
  <si>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</si>
  <si>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</si>
  <si>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</si>
  <si>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</si>
  <si>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</si>
  <si>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</si>
  <si>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</si>
  <si>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</si>
  <si>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</si>
  <si>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</si>
  <si>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</si>
  <si>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</si>
  <si>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</si>
  <si>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</si>
  <si>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</si>
  <si>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</si>
  <si>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</si>
  <si>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</si>
  <si>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</si>
  <si>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</si>
  <si>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</si>
  <si>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</si>
  <si>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</si>
  <si>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</si>
  <si>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</si>
  <si>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Count of Patient Admission Flag</t>
  </si>
  <si>
    <t>Admitted</t>
  </si>
  <si>
    <t>Not Admitted</t>
  </si>
  <si>
    <t>Count of Patient Admission Flag2</t>
  </si>
  <si>
    <t>Admission Status</t>
  </si>
  <si>
    <t xml:space="preserve">No. of Patient </t>
  </si>
  <si>
    <t>% Status</t>
  </si>
  <si>
    <t>Count of Age Group</t>
  </si>
  <si>
    <t>0-09</t>
  </si>
  <si>
    <t>10-19</t>
  </si>
  <si>
    <t>20-29</t>
  </si>
  <si>
    <t>30-39</t>
  </si>
  <si>
    <t>40-49</t>
  </si>
  <si>
    <t>50-59</t>
  </si>
  <si>
    <t>60-69</t>
  </si>
  <si>
    <t>70-79</t>
  </si>
  <si>
    <t>Ontime</t>
  </si>
  <si>
    <t>Delay</t>
  </si>
  <si>
    <t>Count of Calculated Column 1</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</si>
  <si>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</si>
  <si>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</si>
  <si>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</si>
  <si>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</si>
  <si>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</si>
  <si>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</si>
  <si>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</si>
  <si>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</si>
  <si>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</si>
  <si>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</si>
  <si>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</si>
  <si>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Admission Flag_1]</t>
  </si>
  <si>
    <t>Hospital Emergency Room Data[Age Group]</t>
  </si>
  <si>
    <t>Hospital Emergency Room Data[Calculated Column 1]</t>
  </si>
  <si>
    <t>775-92-7178</t>
  </si>
  <si>
    <t>J. Dietzler</t>
  </si>
  <si>
    <t>Female</t>
  </si>
  <si>
    <t>White</t>
  </si>
  <si>
    <t>None</t>
  </si>
  <si>
    <t>260-98-9898</t>
  </si>
  <si>
    <t>O. Horsted</t>
  </si>
  <si>
    <t>African American</t>
  </si>
  <si>
    <t>690-16-9413</t>
  </si>
  <si>
    <t>Q. Allan</t>
  </si>
  <si>
    <t>Two or More Races</t>
  </si>
  <si>
    <t>220-45-5150</t>
  </si>
  <si>
    <t>H. Ruddoch</t>
  </si>
  <si>
    <t>Male</t>
  </si>
  <si>
    <t>Declined to Identify</t>
  </si>
  <si>
    <t>656-96-8620</t>
  </si>
  <si>
    <t>W. Chetwin</t>
  </si>
  <si>
    <t>810-10-6393</t>
  </si>
  <si>
    <t>U. Bonifacio</t>
  </si>
  <si>
    <t>Pacific Islander</t>
  </si>
  <si>
    <t>437-71-7777</t>
  </si>
  <si>
    <t>N. Byram</t>
  </si>
  <si>
    <t>General Practice</t>
  </si>
  <si>
    <t>862-32-2195</t>
  </si>
  <si>
    <t>S. Cleave</t>
  </si>
  <si>
    <t>Asian</t>
  </si>
  <si>
    <t>639-46-1546</t>
  </si>
  <si>
    <t>Y. Capey</t>
  </si>
  <si>
    <t>810-25-2434</t>
  </si>
  <si>
    <t>I. Lippatt</t>
  </si>
  <si>
    <t>640-63-5453</t>
  </si>
  <si>
    <t>Z. Curl</t>
  </si>
  <si>
    <t>Orthopedics</t>
  </si>
  <si>
    <t>107-19-6298</t>
  </si>
  <si>
    <t>K. Clendennen</t>
  </si>
  <si>
    <t>658-48-0259</t>
  </si>
  <si>
    <t>W. Bullman</t>
  </si>
  <si>
    <t>874-40-5379</t>
  </si>
  <si>
    <t>N. Bagworth</t>
  </si>
  <si>
    <t>Physiotherapy</t>
  </si>
  <si>
    <t>734-20-1346</t>
  </si>
  <si>
    <t>M. Gorton</t>
  </si>
  <si>
    <t>170-12-3064</t>
  </si>
  <si>
    <t>M. Brandrick</t>
  </si>
  <si>
    <t>200-87-7696</t>
  </si>
  <si>
    <t>V. Giovani</t>
  </si>
  <si>
    <t>283-49-7447</t>
  </si>
  <si>
    <t>V. Rudledge</t>
  </si>
  <si>
    <t>621-08-1059</t>
  </si>
  <si>
    <t>K. Baal</t>
  </si>
  <si>
    <t>Data returned for Count of Calculated Column 1, 10 - Ontime, Aug (First 1000 rows).</t>
  </si>
  <si>
    <t>Count of Patient Gender</t>
  </si>
  <si>
    <t>Count of Department Referral</t>
  </si>
  <si>
    <t>Cardiology</t>
  </si>
  <si>
    <t>Gastroenterology</t>
  </si>
  <si>
    <t>Neurology</t>
  </si>
  <si>
    <t>Renal</t>
  </si>
  <si>
    <t>262-69-4482</t>
  </si>
  <si>
    <t>U. Llopis</t>
  </si>
  <si>
    <t>494-35-2410</t>
  </si>
  <si>
    <t>O. Mercy</t>
  </si>
  <si>
    <t>285-58-7134</t>
  </si>
  <si>
    <t>S. McFadyen</t>
  </si>
  <si>
    <t>732-47-1768</t>
  </si>
  <si>
    <t>O. Causby</t>
  </si>
  <si>
    <t>856-07-9802</t>
  </si>
  <si>
    <t>P. Flukes</t>
  </si>
  <si>
    <t>369-81-8304</t>
  </si>
  <si>
    <t>U. Nollet</t>
  </si>
  <si>
    <t>193-43-6202</t>
  </si>
  <si>
    <t>D. Jon</t>
  </si>
  <si>
    <t>489-73-9085</t>
  </si>
  <si>
    <t>G. Hattersley</t>
  </si>
  <si>
    <t>869-79-1999</t>
  </si>
  <si>
    <t>Z. Headingham</t>
  </si>
  <si>
    <t>Native American/Alaska Native</t>
  </si>
  <si>
    <t>804-99-0470</t>
  </si>
  <si>
    <t>Y. Breddy</t>
  </si>
  <si>
    <t>233-20-7150</t>
  </si>
  <si>
    <t>E. Yole</t>
  </si>
  <si>
    <t>682-34-0219</t>
  </si>
  <si>
    <t>N. Trenam</t>
  </si>
  <si>
    <t>857-68-5135</t>
  </si>
  <si>
    <t>C. Scott</t>
  </si>
  <si>
    <t>433-42-5910</t>
  </si>
  <si>
    <t>V. Schout</t>
  </si>
  <si>
    <t>409-08-4045</t>
  </si>
  <si>
    <t>O. Spillane</t>
  </si>
  <si>
    <t>453-74-7317</t>
  </si>
  <si>
    <t>P. Bielfelt</t>
  </si>
  <si>
    <t>496-71-2879</t>
  </si>
  <si>
    <t>J. Braham</t>
  </si>
  <si>
    <t>421-39-9248</t>
  </si>
  <si>
    <t>H. Bogges</t>
  </si>
  <si>
    <t>376-80-7068</t>
  </si>
  <si>
    <t>N. Simpole</t>
  </si>
  <si>
    <t>388-07-6238</t>
  </si>
  <si>
    <t>B. Beaver</t>
  </si>
  <si>
    <t>Data returned for Count of Department Referral, Gastroenterology, Apr (First 1000 rows).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</si>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</sst>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2" fillId="2" borderId="0" xfId="0" applyFont="1" applyFill="1"/>
    <xf numFmtId="0" fontId="0" fillId="0" borderId="0" xfId="0" applyAlignment="1">
      <alignment horizontal="left"/>
    </xf>
    <xf numFmtId="1" fontId="0" fillId="0" borderId="0" xfId="0" applyNumberFormat="1"/>
    <xf numFmtId="10" fontId="0" fillId="0" borderId="0" xfId="0" applyNumberFormat="1"/>
    <xf numFmtId="9" fontId="0" fillId="3" borderId="0" xfId="1" applyFont="1" applyFill="1"/>
    <xf numFmtId="0" fontId="0" fillId="3" borderId="0" xfId="0" applyFill="1"/>
    <xf numFmtId="0" fontId="0" fillId="4" borderId="0" xfId="0" applyFill="1"/>
    <xf numFmtId="14" fontId="0" fillId="0" borderId="0" xfId="0" applyNumberFormat="1"/>
    <xf numFmtId="21" fontId="0" fillId="0" borderId="0" xfId="0" applyNumberFormat="1"/>
    <xf numFmtId="0" fontId="3" fillId="0" borderId="0" xfId="0" applyFont="1"/>
  </cellXfs>
  <cellStyles count="2">
    <cellStyle name="Normal" xfId="0" builtinId="0"/>
    <cellStyle name="Percent" xfId="1" builtinId="5"/>
  </cellStyles>
  <dxfs count="853">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 formatCode="0.00"/>
    </dxf>
    <dxf>
      <numFmt numFmtId="1" formatCode="0"/>
    </dxf>
    <dxf>
      <numFmt numFmtId="2" formatCode="0.00"/>
    </dxf>
    <dxf>
      <numFmt numFmtId="1" formatCode="0"/>
    </dxf>
    <dxf>
      <numFmt numFmtId="1" formatCode="0"/>
    </dxf>
    <dxf>
      <numFmt numFmtId="1" formatCode="0"/>
    </dxf>
    <dxf>
      <numFmt numFmtId="26" formatCode="hh:mm:ss"/>
    </dxf>
    <dxf>
      <numFmt numFmtId="19" formatCode="dd/mm/yyyy"/>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sz val="7"/>
        <color theme="1"/>
      </font>
      <fill>
        <patternFill>
          <bgColor theme="0"/>
        </patternFill>
      </fill>
      <border diagonalUp="0" diagonalDown="0">
        <left/>
        <right/>
        <top/>
        <bottom/>
        <vertical/>
        <horizontal/>
      </border>
    </dxf>
    <dxf>
      <font>
        <sz val="7"/>
      </font>
      <fill>
        <patternFill>
          <bgColor theme="9" tint="0.59996337778862885"/>
        </patternFill>
      </fill>
    </dxf>
  </dxfs>
  <tableStyles count="3" defaultTableStyle="TableStyleMedium2" defaultPivotStyle="PivotStyleLight16">
    <tableStyle name="Invisible" pivot="0" table="0" count="0" xr9:uid="{59E0ABE8-29C2-4D5C-A2BA-C55C7908F8C5}"/>
    <tableStyle name="me" pivot="0" table="0" count="10" xr9:uid="{7D6C59C1-F85B-4A1A-B078-56C30ED0025C}">
      <tableStyleElement type="wholeTable" dxfId="851"/>
      <tableStyleElement type="headerRow" dxfId="850"/>
    </tableStyle>
    <tableStyle name="my style" pivot="0" table="0" count="1" xr9:uid="{86D64985-5784-48BA-8092-EA18D458B739}">
      <tableStyleElement type="wholeTable" dxfId="85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 Report'!$P$27</c:f>
              <c:strCache>
                <c:ptCount val="1"/>
                <c:pt idx="0">
                  <c:v>Total</c:v>
                </c:pt>
              </c:strCache>
            </c:strRef>
          </c:tx>
          <c:spPr>
            <a:solidFill>
              <a:schemeClr val="accent1"/>
            </a:solidFill>
            <a:ln w="25400">
              <a:noFill/>
            </a:ln>
            <a:effectLst/>
          </c:spPr>
          <c:cat>
            <c:strRef>
              <c:f>'Pivot Report'!$O$28:$O$59</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Report'!$P$28:$P$59</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7-2B56-4DAD-BB7B-0DA1E6322A7D}"/>
            </c:ext>
          </c:extLst>
        </c:ser>
        <c:dLbls>
          <c:showLegendKey val="0"/>
          <c:showVal val="0"/>
          <c:showCatName val="0"/>
          <c:showSerName val="0"/>
          <c:showPercent val="0"/>
          <c:showBubbleSize val="0"/>
        </c:dLbls>
        <c:axId val="167715648"/>
        <c:axId val="167716608"/>
      </c:areaChart>
      <c:catAx>
        <c:axId val="16771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6608"/>
        <c:crosses val="autoZero"/>
        <c:auto val="1"/>
        <c:lblAlgn val="ctr"/>
        <c:lblOffset val="100"/>
        <c:noMultiLvlLbl val="0"/>
      </c:catAx>
      <c:valAx>
        <c:axId val="167716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5648"/>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Report'!$L$9</c:f>
              <c:strCache>
                <c:ptCount val="1"/>
                <c:pt idx="0">
                  <c:v>Total</c:v>
                </c:pt>
              </c:strCache>
            </c:strRef>
          </c:tx>
          <c:spPr>
            <a:solidFill>
              <a:schemeClr val="accent1"/>
            </a:solidFill>
            <a:ln w="25400">
              <a:noFill/>
            </a:ln>
            <a:effectLst/>
          </c:spPr>
          <c:cat>
            <c:strRef>
              <c:f>'Pivot Report'!$K$10:$K$41</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Report'!$L$10:$L$41</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5-CDE6-4545-A392-188927763756}"/>
            </c:ext>
          </c:extLst>
        </c:ser>
        <c:dLbls>
          <c:showLegendKey val="0"/>
          <c:showVal val="0"/>
          <c:showCatName val="0"/>
          <c:showSerName val="0"/>
          <c:showPercent val="0"/>
          <c:showBubbleSize val="0"/>
        </c:dLbls>
        <c:axId val="1686820591"/>
        <c:axId val="1686821551"/>
      </c:areaChart>
      <c:catAx>
        <c:axId val="1686820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821551"/>
        <c:crosses val="autoZero"/>
        <c:auto val="1"/>
        <c:lblAlgn val="ctr"/>
        <c:lblOffset val="100"/>
        <c:noMultiLvlLbl val="0"/>
      </c:catAx>
      <c:valAx>
        <c:axId val="1686821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8205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Report'!$G$9</c:f>
              <c:strCache>
                <c:ptCount val="1"/>
                <c:pt idx="0">
                  <c:v>Total</c:v>
                </c:pt>
              </c:strCache>
            </c:strRef>
          </c:tx>
          <c:spPr>
            <a:solidFill>
              <a:schemeClr val="accent1"/>
            </a:solidFill>
            <a:ln w="25400">
              <a:noFill/>
            </a:ln>
            <a:effectLst/>
          </c:spPr>
          <c:cat>
            <c:strRef>
              <c:f>'Pivot Report'!$F$10:$F$41</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Report'!$G$10:$G$41</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5-E75E-4F32-9A80-191D950C4016}"/>
            </c:ext>
          </c:extLst>
        </c:ser>
        <c:dLbls>
          <c:showLegendKey val="0"/>
          <c:showVal val="0"/>
          <c:showCatName val="0"/>
          <c:showSerName val="0"/>
          <c:showPercent val="0"/>
          <c:showBubbleSize val="0"/>
        </c:dLbls>
        <c:axId val="167715648"/>
        <c:axId val="167716608"/>
      </c:areaChart>
      <c:catAx>
        <c:axId val="16771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6608"/>
        <c:crosses val="autoZero"/>
        <c:auto val="1"/>
        <c:lblAlgn val="ctr"/>
        <c:lblOffset val="100"/>
        <c:noMultiLvlLbl val="0"/>
      </c:catAx>
      <c:valAx>
        <c:axId val="16771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56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647200349956255"/>
          <c:w val="0.82474518810148734"/>
          <c:h val="0.49278215223097122"/>
        </c:manualLayout>
      </c:layout>
      <c:areaChart>
        <c:grouping val="standard"/>
        <c:varyColors val="0"/>
        <c:ser>
          <c:idx val="0"/>
          <c:order val="0"/>
          <c:tx>
            <c:strRef>
              <c:f>'Pivot Report'!$G$9</c:f>
              <c:strCache>
                <c:ptCount val="1"/>
                <c:pt idx="0">
                  <c:v>Total</c:v>
                </c:pt>
              </c:strCache>
            </c:strRef>
          </c:tx>
          <c:spPr>
            <a:solidFill>
              <a:schemeClr val="accent1"/>
            </a:solidFill>
            <a:ln w="25400">
              <a:noFill/>
            </a:ln>
            <a:effectLst/>
          </c:spPr>
          <c:cat>
            <c:strRef>
              <c:f>'Pivot Report'!$F$10:$F$41</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Report'!$G$10:$G$41</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6-BE32-4168-95DA-9E107D763E8B}"/>
            </c:ext>
          </c:extLst>
        </c:ser>
        <c:dLbls>
          <c:showLegendKey val="0"/>
          <c:showVal val="0"/>
          <c:showCatName val="0"/>
          <c:showSerName val="0"/>
          <c:showPercent val="0"/>
          <c:showBubbleSize val="0"/>
        </c:dLbls>
        <c:axId val="209925456"/>
        <c:axId val="209926416"/>
      </c:areaChart>
      <c:catAx>
        <c:axId val="209925456"/>
        <c:scaling>
          <c:orientation val="minMax"/>
        </c:scaling>
        <c:delete val="1"/>
        <c:axPos val="b"/>
        <c:numFmt formatCode="General" sourceLinked="1"/>
        <c:majorTickMark val="out"/>
        <c:minorTickMark val="none"/>
        <c:tickLblPos val="nextTo"/>
        <c:crossAx val="209926416"/>
        <c:crosses val="autoZero"/>
        <c:auto val="1"/>
        <c:lblAlgn val="ctr"/>
        <c:lblOffset val="100"/>
        <c:noMultiLvlLbl val="0"/>
      </c:catAx>
      <c:valAx>
        <c:axId val="209926416"/>
        <c:scaling>
          <c:orientation val="minMax"/>
        </c:scaling>
        <c:delete val="1"/>
        <c:axPos val="l"/>
        <c:numFmt formatCode="General" sourceLinked="1"/>
        <c:majorTickMark val="none"/>
        <c:minorTickMark val="none"/>
        <c:tickLblPos val="nextTo"/>
        <c:crossAx val="209925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5811793829817"/>
          <c:y val="0.38155416586129348"/>
          <c:w val="0.64836500752075932"/>
          <c:h val="0.42597304789337953"/>
        </c:manualLayout>
      </c:layout>
      <c:areaChart>
        <c:grouping val="standard"/>
        <c:varyColors val="0"/>
        <c:ser>
          <c:idx val="0"/>
          <c:order val="0"/>
          <c:tx>
            <c:strRef>
              <c:f>'Pivot Report'!$L$9</c:f>
              <c:strCache>
                <c:ptCount val="1"/>
                <c:pt idx="0">
                  <c:v>Total</c:v>
                </c:pt>
              </c:strCache>
            </c:strRef>
          </c:tx>
          <c:spPr>
            <a:solidFill>
              <a:schemeClr val="accent1"/>
            </a:solidFill>
            <a:ln w="25400">
              <a:noFill/>
            </a:ln>
            <a:effectLst/>
          </c:spPr>
          <c:cat>
            <c:strRef>
              <c:f>'Pivot Report'!$K$10:$K$41</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Report'!$L$10:$L$41</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6-ECD2-4E21-8FE3-E11B113834F9}"/>
            </c:ext>
          </c:extLst>
        </c:ser>
        <c:dLbls>
          <c:showLegendKey val="0"/>
          <c:showVal val="0"/>
          <c:showCatName val="0"/>
          <c:showSerName val="0"/>
          <c:showPercent val="0"/>
          <c:showBubbleSize val="0"/>
        </c:dLbls>
        <c:axId val="1686820591"/>
        <c:axId val="1686821551"/>
      </c:areaChart>
      <c:catAx>
        <c:axId val="1686820591"/>
        <c:scaling>
          <c:orientation val="minMax"/>
        </c:scaling>
        <c:delete val="1"/>
        <c:axPos val="b"/>
        <c:numFmt formatCode="General" sourceLinked="1"/>
        <c:majorTickMark val="out"/>
        <c:minorTickMark val="none"/>
        <c:tickLblPos val="nextTo"/>
        <c:crossAx val="1686821551"/>
        <c:crosses val="autoZero"/>
        <c:auto val="1"/>
        <c:lblAlgn val="ctr"/>
        <c:lblOffset val="100"/>
        <c:noMultiLvlLbl val="0"/>
      </c:catAx>
      <c:valAx>
        <c:axId val="1686821551"/>
        <c:scaling>
          <c:orientation val="minMax"/>
        </c:scaling>
        <c:delete val="1"/>
        <c:axPos val="l"/>
        <c:numFmt formatCode="0.00" sourceLinked="1"/>
        <c:majorTickMark val="none"/>
        <c:minorTickMark val="none"/>
        <c:tickLblPos val="nextTo"/>
        <c:crossAx val="168682059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Report'!$P$27</c:f>
              <c:strCache>
                <c:ptCount val="1"/>
                <c:pt idx="0">
                  <c:v>Total</c:v>
                </c:pt>
              </c:strCache>
            </c:strRef>
          </c:tx>
          <c:spPr>
            <a:solidFill>
              <a:schemeClr val="accent1"/>
            </a:solidFill>
            <a:ln w="25400">
              <a:noFill/>
            </a:ln>
            <a:effectLst/>
          </c:spPr>
          <c:cat>
            <c:strRef>
              <c:f>'Pivot Report'!$O$28:$O$59</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Report'!$P$28:$P$59</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6-A7E2-4D91-915C-7F21EE0139D1}"/>
            </c:ext>
          </c:extLst>
        </c:ser>
        <c:dLbls>
          <c:showLegendKey val="0"/>
          <c:showVal val="0"/>
          <c:showCatName val="0"/>
          <c:showSerName val="0"/>
          <c:showPercent val="0"/>
          <c:showBubbleSize val="0"/>
        </c:dLbls>
        <c:axId val="752723583"/>
        <c:axId val="752724543"/>
      </c:areaChart>
      <c:catAx>
        <c:axId val="752723583"/>
        <c:scaling>
          <c:orientation val="minMax"/>
        </c:scaling>
        <c:delete val="1"/>
        <c:axPos val="b"/>
        <c:numFmt formatCode="General" sourceLinked="1"/>
        <c:majorTickMark val="out"/>
        <c:minorTickMark val="none"/>
        <c:tickLblPos val="nextTo"/>
        <c:crossAx val="752724543"/>
        <c:crosses val="autoZero"/>
        <c:auto val="1"/>
        <c:lblAlgn val="ctr"/>
        <c:lblOffset val="100"/>
        <c:noMultiLvlLbl val="0"/>
      </c:catAx>
      <c:valAx>
        <c:axId val="752724543"/>
        <c:scaling>
          <c:orientation val="minMax"/>
        </c:scaling>
        <c:delete val="1"/>
        <c:axPos val="l"/>
        <c:numFmt formatCode="0.00" sourceLinked="1"/>
        <c:majorTickMark val="none"/>
        <c:minorTickMark val="none"/>
        <c:tickLblPos val="nextTo"/>
        <c:crossAx val="752723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72464007062963E-2"/>
          <c:y val="6.2946386530464568E-2"/>
          <c:w val="0.93808381598705126"/>
          <c:h val="0.76634664789840035"/>
        </c:manualLayout>
      </c:layout>
      <c:barChart>
        <c:barDir val="col"/>
        <c:grouping val="clustered"/>
        <c:varyColors val="0"/>
        <c:ser>
          <c:idx val="0"/>
          <c:order val="0"/>
          <c:tx>
            <c:strRef>
              <c:f>'Pivot Report'!$H$48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Report'!$G$49:$G$57</c:f>
              <c:strCache>
                <c:ptCount val="8"/>
                <c:pt idx="0">
                  <c:v>0-09</c:v>
                </c:pt>
                <c:pt idx="1">
                  <c:v>10-19</c:v>
                </c:pt>
                <c:pt idx="2">
                  <c:v>20-29</c:v>
                </c:pt>
                <c:pt idx="3">
                  <c:v>30-39</c:v>
                </c:pt>
                <c:pt idx="4">
                  <c:v>40-49</c:v>
                </c:pt>
                <c:pt idx="5">
                  <c:v>50-59</c:v>
                </c:pt>
                <c:pt idx="6">
                  <c:v>60-69</c:v>
                </c:pt>
                <c:pt idx="7">
                  <c:v>70-79</c:v>
                </c:pt>
              </c:strCache>
            </c:strRef>
          </c:cat>
          <c:val>
            <c:numRef>
              <c:f>'Pivot Report'!$H$49:$H$57</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6-F585-46DB-B8DD-54438C18DB23}"/>
            </c:ext>
          </c:extLst>
        </c:ser>
        <c:dLbls>
          <c:showLegendKey val="0"/>
          <c:showVal val="0"/>
          <c:showCatName val="0"/>
          <c:showSerName val="0"/>
          <c:showPercent val="0"/>
          <c:showBubbleSize val="0"/>
        </c:dLbls>
        <c:gapWidth val="219"/>
        <c:overlap val="-27"/>
        <c:axId val="581219584"/>
        <c:axId val="581220544"/>
      </c:barChart>
      <c:catAx>
        <c:axId val="58121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81220544"/>
        <c:crosses val="autoZero"/>
        <c:auto val="1"/>
        <c:lblAlgn val="ctr"/>
        <c:lblOffset val="100"/>
        <c:noMultiLvlLbl val="0"/>
      </c:catAx>
      <c:valAx>
        <c:axId val="581220544"/>
        <c:scaling>
          <c:orientation val="minMax"/>
        </c:scaling>
        <c:delete val="1"/>
        <c:axPos val="l"/>
        <c:numFmt formatCode="0" sourceLinked="1"/>
        <c:majorTickMark val="none"/>
        <c:minorTickMark val="none"/>
        <c:tickLblPos val="nextTo"/>
        <c:crossAx val="5812195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4242902739704165E-2"/>
          <c:y val="5.7201460626457389E-2"/>
          <c:w val="0.5807560360927041"/>
          <c:h val="0.75551426479545691"/>
        </c:manualLayout>
      </c:layout>
      <c:pieChart>
        <c:varyColors val="1"/>
        <c:ser>
          <c:idx val="0"/>
          <c:order val="0"/>
          <c:tx>
            <c:strRef>
              <c:f>'Pivot Report'!$E$62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Report'!$D$63:$D$65</c:f>
              <c:strCache>
                <c:ptCount val="2"/>
                <c:pt idx="0">
                  <c:v>Delay</c:v>
                </c:pt>
                <c:pt idx="1">
                  <c:v>Ontime</c:v>
                </c:pt>
              </c:strCache>
            </c:strRef>
          </c:cat>
          <c:val>
            <c:numRef>
              <c:f>'Pivot Report'!$E$63:$E$65</c:f>
              <c:numCache>
                <c:formatCode>0</c:formatCode>
                <c:ptCount val="2"/>
                <c:pt idx="0">
                  <c:v>267</c:v>
                </c:pt>
                <c:pt idx="1">
                  <c:v>197</c:v>
                </c:pt>
              </c:numCache>
            </c:numRef>
          </c:val>
          <c:extLst>
            <c:ext xmlns:c16="http://schemas.microsoft.com/office/drawing/2014/chart" uri="{C3380CC4-5D6E-409C-BE32-E72D297353CC}">
              <c16:uniqueId val="{0000000A-7BAB-4AA2-9752-EF9A593C00C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02137351148338"/>
          <c:y val="0.12241821660831954"/>
          <c:w val="0.35512283827746782"/>
          <c:h val="0.400286403376545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9631849443520498E-2"/>
          <c:y val="0"/>
          <c:w val="0.52732775918431529"/>
          <c:h val="0.88686986118301903"/>
        </c:manualLayout>
      </c:layout>
      <c:doughnutChart>
        <c:varyColors val="1"/>
        <c:ser>
          <c:idx val="0"/>
          <c:order val="0"/>
          <c:tx>
            <c:strRef>
              <c:f>'Pivot Report'!$H$67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Report'!$G$68:$G$70</c:f>
              <c:strCache>
                <c:ptCount val="2"/>
                <c:pt idx="0">
                  <c:v>Female</c:v>
                </c:pt>
                <c:pt idx="1">
                  <c:v>Male</c:v>
                </c:pt>
              </c:strCache>
            </c:strRef>
          </c:cat>
          <c:val>
            <c:numRef>
              <c:f>'Pivot Report'!$H$68:$H$70</c:f>
              <c:numCache>
                <c:formatCode>0.00</c:formatCode>
                <c:ptCount val="2"/>
                <c:pt idx="0">
                  <c:v>228</c:v>
                </c:pt>
                <c:pt idx="1">
                  <c:v>236</c:v>
                </c:pt>
              </c:numCache>
            </c:numRef>
          </c:val>
          <c:extLst>
            <c:ext xmlns:c16="http://schemas.microsoft.com/office/drawing/2014/chart" uri="{C3380CC4-5D6E-409C-BE32-E72D297353CC}">
              <c16:uniqueId val="{0000000A-A7D9-4F96-8574-0FFF152870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Report'!$L$66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Report'!$K$67:$K$75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Report'!$L$67:$L$75</c:f>
              <c:numCache>
                <c:formatCode>0.00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8-B882-4B5D-8592-7CE5AADD8408}"/>
            </c:ext>
          </c:extLst>
        </c:ser>
        <c:dLbls>
          <c:showLegendKey val="0"/>
          <c:showVal val="0"/>
          <c:showCatName val="0"/>
          <c:showSerName val="0"/>
          <c:showPercent val="0"/>
          <c:showBubbleSize val="0"/>
        </c:dLbls>
        <c:gapWidth val="182"/>
        <c:axId val="560988304"/>
        <c:axId val="560978224"/>
      </c:barChart>
      <c:catAx>
        <c:axId val="56098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78224"/>
        <c:crosses val="autoZero"/>
        <c:auto val="1"/>
        <c:lblAlgn val="ctr"/>
        <c:lblOffset val="100"/>
        <c:noMultiLvlLbl val="0"/>
      </c:catAx>
      <c:valAx>
        <c:axId val="560978224"/>
        <c:scaling>
          <c:orientation val="minMax"/>
        </c:scaling>
        <c:delete val="1"/>
        <c:axPos val="b"/>
        <c:numFmt formatCode="0.00" sourceLinked="1"/>
        <c:majorTickMark val="none"/>
        <c:minorTickMark val="none"/>
        <c:tickLblPos val="nextTo"/>
        <c:crossAx val="56098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heet2!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Sheet2!A1"/><Relationship Id="rId1" Type="http://schemas.openxmlformats.org/officeDocument/2006/relationships/chart" Target="../charts/chart2.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heet2!A1"/></Relationships>
</file>

<file path=xl/drawings/_rels/drawing6.xml.rels><?xml version="1.0" encoding="UTF-8" standalone="yes"?>
<Relationships xmlns="http://schemas.openxmlformats.org/package/2006/relationships"><Relationship Id="rId8" Type="http://schemas.openxmlformats.org/officeDocument/2006/relationships/hyperlink" Target="#Sheet3!A1"/><Relationship Id="rId13" Type="http://schemas.openxmlformats.org/officeDocument/2006/relationships/image" Target="../media/image10.emf"/><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chart" Target="../charts/chart6.xml"/><Relationship Id="rId17" Type="http://schemas.openxmlformats.org/officeDocument/2006/relationships/chart" Target="../charts/chart10.xml"/><Relationship Id="rId2" Type="http://schemas.openxmlformats.org/officeDocument/2006/relationships/image" Target="../media/image4.png"/><Relationship Id="rId16" Type="http://schemas.openxmlformats.org/officeDocument/2006/relationships/chart" Target="../charts/chart9.xml"/><Relationship Id="rId1" Type="http://schemas.openxmlformats.org/officeDocument/2006/relationships/image" Target="../media/image3.jpg"/><Relationship Id="rId6" Type="http://schemas.openxmlformats.org/officeDocument/2006/relationships/image" Target="../media/image8.png"/><Relationship Id="rId11" Type="http://schemas.openxmlformats.org/officeDocument/2006/relationships/chart" Target="../charts/chart5.xml"/><Relationship Id="rId5" Type="http://schemas.openxmlformats.org/officeDocument/2006/relationships/image" Target="../media/image7.svg"/><Relationship Id="rId15" Type="http://schemas.openxmlformats.org/officeDocument/2006/relationships/chart" Target="../charts/chart8.xml"/><Relationship Id="rId10" Type="http://schemas.openxmlformats.org/officeDocument/2006/relationships/hyperlink" Target="#Sheet4!A1"/><Relationship Id="rId4" Type="http://schemas.openxmlformats.org/officeDocument/2006/relationships/image" Target="../media/image6.png"/><Relationship Id="rId9" Type="http://schemas.openxmlformats.org/officeDocument/2006/relationships/chart" Target="../charts/chart4.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1A00957A-8AEF-4AA1-80D5-0E431689A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0.82333</cdr:x>
      <cdr:y>0.03333</cdr:y>
    </cdr:from>
    <cdr:to>
      <cdr:x>0.93333</cdr:x>
      <cdr:y>0.21667</cdr:y>
    </cdr:to>
    <cdr:pic>
      <cdr:nvPicPr>
        <cdr:cNvPr id="3" name="Graphic 2" descr="Work from home Wi-Fi outlin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A5EB50A-E270-D4E6-CBBD-E86AF7F31C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764280" y="91440"/>
          <a:ext cx="502920" cy="50292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EEC1BEA2-6375-46A6-87BF-351071173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213360</xdr:colOff>
      <xdr:row>0</xdr:row>
      <xdr:rowOff>106680</xdr:rowOff>
    </xdr:from>
    <xdr:to>
      <xdr:col>7</xdr:col>
      <xdr:colOff>106680</xdr:colOff>
      <xdr:row>3</xdr:row>
      <xdr:rowOff>60960</xdr:rowOff>
    </xdr:to>
    <xdr:pic>
      <xdr:nvPicPr>
        <xdr:cNvPr id="5" name="Graphic 1" descr="Work from home Wi-Fi outline">
          <a:hlinkClick xmlns:r="http://schemas.openxmlformats.org/officeDocument/2006/relationships" r:id="rId2"/>
          <a:extLst>
            <a:ext uri="{FF2B5EF4-FFF2-40B4-BE49-F238E27FC236}">
              <a16:creationId xmlns:a16="http://schemas.microsoft.com/office/drawing/2014/main" id="{A0BC2C64-81B0-5C56-5615-7382393363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70960" y="106680"/>
          <a:ext cx="502920" cy="5029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213360</xdr:colOff>
      <xdr:row>2</xdr:row>
      <xdr:rowOff>0</xdr:rowOff>
    </xdr:from>
    <xdr:to>
      <xdr:col>7</xdr:col>
      <xdr:colOff>518160</xdr:colOff>
      <xdr:row>17</xdr:row>
      <xdr:rowOff>0</xdr:rowOff>
    </xdr:to>
    <xdr:graphicFrame macro="">
      <xdr:nvGraphicFramePr>
        <xdr:cNvPr id="2" name="Chart 1">
          <a:extLst>
            <a:ext uri="{FF2B5EF4-FFF2-40B4-BE49-F238E27FC236}">
              <a16:creationId xmlns:a16="http://schemas.microsoft.com/office/drawing/2014/main" id="{6863305A-7EC1-4A7E-B196-09BCE1710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0.82333</cdr:x>
      <cdr:y>0.03333</cdr:y>
    </cdr:from>
    <cdr:to>
      <cdr:x>0.93333</cdr:x>
      <cdr:y>0.21667</cdr:y>
    </cdr:to>
    <cdr:pic>
      <cdr:nvPicPr>
        <cdr:cNvPr id="3" name="Graphic 2" descr="Work from home Wi-Fi outlin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A5EB50A-E270-D4E6-CBBD-E86AF7F31C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764280" y="91440"/>
          <a:ext cx="502920" cy="5029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194554</xdr:colOff>
      <xdr:row>0</xdr:row>
      <xdr:rowOff>54042</xdr:rowOff>
    </xdr:from>
    <xdr:to>
      <xdr:col>5</xdr:col>
      <xdr:colOff>226980</xdr:colOff>
      <xdr:row>3</xdr:row>
      <xdr:rowOff>64851</xdr:rowOff>
    </xdr:to>
    <xdr:sp macro="" textlink="">
      <xdr:nvSpPr>
        <xdr:cNvPr id="2" name="Rectangle: Rounded Corners 1">
          <a:extLst>
            <a:ext uri="{FF2B5EF4-FFF2-40B4-BE49-F238E27FC236}">
              <a16:creationId xmlns:a16="http://schemas.microsoft.com/office/drawing/2014/main" id="{4CC5F613-0155-B844-94AE-1DFD5A24DB8B}"/>
            </a:ext>
          </a:extLst>
        </xdr:cNvPr>
        <xdr:cNvSpPr/>
      </xdr:nvSpPr>
      <xdr:spPr>
        <a:xfrm>
          <a:off x="194554" y="54042"/>
          <a:ext cx="3085830" cy="562043"/>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IN" sz="1100"/>
        </a:p>
      </xdr:txBody>
    </xdr:sp>
    <xdr:clientData/>
  </xdr:twoCellAnchor>
  <xdr:twoCellAnchor editAs="absolute">
    <xdr:from>
      <xdr:col>5</xdr:col>
      <xdr:colOff>281021</xdr:colOff>
      <xdr:row>0</xdr:row>
      <xdr:rowOff>43234</xdr:rowOff>
    </xdr:from>
    <xdr:to>
      <xdr:col>7</xdr:col>
      <xdr:colOff>551234</xdr:colOff>
      <xdr:row>3</xdr:row>
      <xdr:rowOff>81064</xdr:rowOff>
    </xdr:to>
    <xdr:sp macro="" textlink="">
      <xdr:nvSpPr>
        <xdr:cNvPr id="6" name="Rectangle: Rounded Corners 5">
          <a:extLst>
            <a:ext uri="{FF2B5EF4-FFF2-40B4-BE49-F238E27FC236}">
              <a16:creationId xmlns:a16="http://schemas.microsoft.com/office/drawing/2014/main" id="{5F0FEF26-3C51-A0DB-A166-84380D99CB7F}"/>
            </a:ext>
          </a:extLst>
        </xdr:cNvPr>
        <xdr:cNvSpPr/>
      </xdr:nvSpPr>
      <xdr:spPr>
        <a:xfrm>
          <a:off x="3334425" y="43234"/>
          <a:ext cx="1491575" cy="589064"/>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37828</xdr:colOff>
      <xdr:row>0</xdr:row>
      <xdr:rowOff>91872</xdr:rowOff>
    </xdr:from>
    <xdr:to>
      <xdr:col>15</xdr:col>
      <xdr:colOff>372893</xdr:colOff>
      <xdr:row>7</xdr:row>
      <xdr:rowOff>113488</xdr:rowOff>
    </xdr:to>
    <xdr:sp macro="" textlink="">
      <xdr:nvSpPr>
        <xdr:cNvPr id="7" name="Rectangle: Rounded Corners 6">
          <a:extLst>
            <a:ext uri="{FF2B5EF4-FFF2-40B4-BE49-F238E27FC236}">
              <a16:creationId xmlns:a16="http://schemas.microsoft.com/office/drawing/2014/main" id="{8B922B34-7552-2BC0-73C7-490B2FA03736}"/>
            </a:ext>
          </a:extLst>
        </xdr:cNvPr>
        <xdr:cNvSpPr/>
      </xdr:nvSpPr>
      <xdr:spPr>
        <a:xfrm>
          <a:off x="4923275" y="91872"/>
          <a:ext cx="4609831" cy="1307829"/>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48639</xdr:colOff>
      <xdr:row>7</xdr:row>
      <xdr:rowOff>178341</xdr:rowOff>
    </xdr:from>
    <xdr:to>
      <xdr:col>15</xdr:col>
      <xdr:colOff>426936</xdr:colOff>
      <xdr:row>18</xdr:row>
      <xdr:rowOff>108086</xdr:rowOff>
    </xdr:to>
    <xdr:sp macro="" textlink="">
      <xdr:nvSpPr>
        <xdr:cNvPr id="8" name="Rectangle: Rounded Corners 7">
          <a:extLst>
            <a:ext uri="{FF2B5EF4-FFF2-40B4-BE49-F238E27FC236}">
              <a16:creationId xmlns:a16="http://schemas.microsoft.com/office/drawing/2014/main" id="{539DB494-F9BF-644A-5518-C2C496A1FF79}"/>
            </a:ext>
          </a:extLst>
        </xdr:cNvPr>
        <xdr:cNvSpPr/>
      </xdr:nvSpPr>
      <xdr:spPr>
        <a:xfrm>
          <a:off x="4934086" y="1464554"/>
          <a:ext cx="4653063" cy="1950936"/>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178341</xdr:colOff>
      <xdr:row>3</xdr:row>
      <xdr:rowOff>151320</xdr:rowOff>
    </xdr:from>
    <xdr:to>
      <xdr:col>1</xdr:col>
      <xdr:colOff>394510</xdr:colOff>
      <xdr:row>18</xdr:row>
      <xdr:rowOff>91874</xdr:rowOff>
    </xdr:to>
    <xdr:sp macro="" textlink="">
      <xdr:nvSpPr>
        <xdr:cNvPr id="15" name="Rectangle: Rounded Corners 14">
          <a:extLst>
            <a:ext uri="{FF2B5EF4-FFF2-40B4-BE49-F238E27FC236}">
              <a16:creationId xmlns:a16="http://schemas.microsoft.com/office/drawing/2014/main" id="{018582B1-6E73-47F9-1AE1-AF56BFB39E6E}"/>
            </a:ext>
          </a:extLst>
        </xdr:cNvPr>
        <xdr:cNvSpPr/>
      </xdr:nvSpPr>
      <xdr:spPr>
        <a:xfrm>
          <a:off x="178341" y="702554"/>
          <a:ext cx="826850" cy="2696724"/>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437748</xdr:colOff>
      <xdr:row>3</xdr:row>
      <xdr:rowOff>151320</xdr:rowOff>
    </xdr:from>
    <xdr:to>
      <xdr:col>3</xdr:col>
      <xdr:colOff>437746</xdr:colOff>
      <xdr:row>7</xdr:row>
      <xdr:rowOff>129702</xdr:rowOff>
    </xdr:to>
    <xdr:sp macro="" textlink="">
      <xdr:nvSpPr>
        <xdr:cNvPr id="16" name="Rectangle: Rounded Corners 15">
          <a:extLst>
            <a:ext uri="{FF2B5EF4-FFF2-40B4-BE49-F238E27FC236}">
              <a16:creationId xmlns:a16="http://schemas.microsoft.com/office/drawing/2014/main" id="{E321B183-1B6E-F72A-DAB3-6FDB2DC2DB3C}"/>
            </a:ext>
          </a:extLst>
        </xdr:cNvPr>
        <xdr:cNvSpPr/>
      </xdr:nvSpPr>
      <xdr:spPr>
        <a:xfrm>
          <a:off x="1048429" y="702554"/>
          <a:ext cx="1221360" cy="713361"/>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524216</xdr:colOff>
      <xdr:row>3</xdr:row>
      <xdr:rowOff>118895</xdr:rowOff>
    </xdr:from>
    <xdr:to>
      <xdr:col>5</xdr:col>
      <xdr:colOff>524215</xdr:colOff>
      <xdr:row>7</xdr:row>
      <xdr:rowOff>102682</xdr:rowOff>
    </xdr:to>
    <xdr:sp macro="" textlink="">
      <xdr:nvSpPr>
        <xdr:cNvPr id="21" name="Rectangle: Rounded Corners 20">
          <a:extLst>
            <a:ext uri="{FF2B5EF4-FFF2-40B4-BE49-F238E27FC236}">
              <a16:creationId xmlns:a16="http://schemas.microsoft.com/office/drawing/2014/main" id="{848BFC7A-92B6-8863-5C50-3DEBAA10A21F}"/>
            </a:ext>
          </a:extLst>
        </xdr:cNvPr>
        <xdr:cNvSpPr/>
      </xdr:nvSpPr>
      <xdr:spPr>
        <a:xfrm>
          <a:off x="2356259" y="670129"/>
          <a:ext cx="1221360" cy="718766"/>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xdr:colOff>
      <xdr:row>3</xdr:row>
      <xdr:rowOff>135108</xdr:rowOff>
    </xdr:from>
    <xdr:to>
      <xdr:col>8</xdr:col>
      <xdr:colOff>2</xdr:colOff>
      <xdr:row>7</xdr:row>
      <xdr:rowOff>108085</xdr:rowOff>
    </xdr:to>
    <xdr:sp macro="" textlink="">
      <xdr:nvSpPr>
        <xdr:cNvPr id="22" name="Rectangle: Rounded Corners 21">
          <a:extLst>
            <a:ext uri="{FF2B5EF4-FFF2-40B4-BE49-F238E27FC236}">
              <a16:creationId xmlns:a16="http://schemas.microsoft.com/office/drawing/2014/main" id="{DA56E1FE-0B19-5E11-FB47-9E9F783337AB}"/>
            </a:ext>
          </a:extLst>
        </xdr:cNvPr>
        <xdr:cNvSpPr/>
      </xdr:nvSpPr>
      <xdr:spPr>
        <a:xfrm>
          <a:off x="3664089" y="686342"/>
          <a:ext cx="1221360" cy="707956"/>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524212</xdr:colOff>
      <xdr:row>11</xdr:row>
      <xdr:rowOff>178341</xdr:rowOff>
    </xdr:from>
    <xdr:to>
      <xdr:col>7</xdr:col>
      <xdr:colOff>572850</xdr:colOff>
      <xdr:row>18</xdr:row>
      <xdr:rowOff>113489</xdr:rowOff>
    </xdr:to>
    <xdr:sp macro="" textlink="">
      <xdr:nvSpPr>
        <xdr:cNvPr id="23" name="Rectangle: Rounded Corners 22">
          <a:extLst>
            <a:ext uri="{FF2B5EF4-FFF2-40B4-BE49-F238E27FC236}">
              <a16:creationId xmlns:a16="http://schemas.microsoft.com/office/drawing/2014/main" id="{FD52516E-88B2-32A3-3E7B-9CD1DA80F2BA}"/>
            </a:ext>
          </a:extLst>
        </xdr:cNvPr>
        <xdr:cNvSpPr/>
      </xdr:nvSpPr>
      <xdr:spPr>
        <a:xfrm>
          <a:off x="2966935" y="2199532"/>
          <a:ext cx="1880681" cy="1221361"/>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497195</xdr:colOff>
      <xdr:row>11</xdr:row>
      <xdr:rowOff>167533</xdr:rowOff>
    </xdr:from>
    <xdr:to>
      <xdr:col>4</xdr:col>
      <xdr:colOff>437745</xdr:colOff>
      <xdr:row>18</xdr:row>
      <xdr:rowOff>108084</xdr:rowOff>
    </xdr:to>
    <xdr:sp macro="" textlink="">
      <xdr:nvSpPr>
        <xdr:cNvPr id="24" name="Rectangle: Rounded Corners 23">
          <a:extLst>
            <a:ext uri="{FF2B5EF4-FFF2-40B4-BE49-F238E27FC236}">
              <a16:creationId xmlns:a16="http://schemas.microsoft.com/office/drawing/2014/main" id="{6993EAC3-EECD-326C-7BD0-A47BC7FF846F}"/>
            </a:ext>
          </a:extLst>
        </xdr:cNvPr>
        <xdr:cNvSpPr/>
      </xdr:nvSpPr>
      <xdr:spPr>
        <a:xfrm>
          <a:off x="1107876" y="2188724"/>
          <a:ext cx="1772592" cy="1226764"/>
        </a:xfrm>
        <a:prstGeom prst="round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432340</xdr:colOff>
      <xdr:row>0</xdr:row>
      <xdr:rowOff>140512</xdr:rowOff>
    </xdr:from>
    <xdr:ext cx="2199531" cy="437744"/>
    <xdr:sp macro="" textlink="">
      <xdr:nvSpPr>
        <xdr:cNvPr id="28" name="TextBox 27">
          <a:extLst>
            <a:ext uri="{FF2B5EF4-FFF2-40B4-BE49-F238E27FC236}">
              <a16:creationId xmlns:a16="http://schemas.microsoft.com/office/drawing/2014/main" id="{829951FB-1946-756A-C5D9-D1962A7EC2DD}"/>
            </a:ext>
          </a:extLst>
        </xdr:cNvPr>
        <xdr:cNvSpPr txBox="1"/>
      </xdr:nvSpPr>
      <xdr:spPr>
        <a:xfrm>
          <a:off x="1043021" y="140512"/>
          <a:ext cx="2199531" cy="437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IN" sz="1100"/>
            <a:t>Hospital</a:t>
          </a:r>
          <a:r>
            <a:rPr lang="en-IN" sz="1100" baseline="0"/>
            <a:t> Emergency Room Dashboard</a:t>
          </a:r>
          <a:endParaRPr lang="en-IN" sz="1100"/>
        </a:p>
      </xdr:txBody>
    </xdr:sp>
    <xdr:clientData/>
  </xdr:oneCellAnchor>
  <xdr:twoCellAnchor editAs="oneCell">
    <xdr:from>
      <xdr:col>0</xdr:col>
      <xdr:colOff>291830</xdr:colOff>
      <xdr:row>0</xdr:row>
      <xdr:rowOff>70256</xdr:rowOff>
    </xdr:from>
    <xdr:to>
      <xdr:col>1</xdr:col>
      <xdr:colOff>383703</xdr:colOff>
      <xdr:row>3</xdr:row>
      <xdr:rowOff>49522</xdr:rowOff>
    </xdr:to>
    <xdr:pic>
      <xdr:nvPicPr>
        <xdr:cNvPr id="30" name="Picture 29">
          <a:extLst>
            <a:ext uri="{FF2B5EF4-FFF2-40B4-BE49-F238E27FC236}">
              <a16:creationId xmlns:a16="http://schemas.microsoft.com/office/drawing/2014/main" id="{C4B2FEE5-72FD-6CDB-1387-A778ED010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830" y="70256"/>
          <a:ext cx="702554" cy="530500"/>
        </a:xfrm>
        <a:prstGeom prst="rect">
          <a:avLst/>
        </a:prstGeom>
      </xdr:spPr>
    </xdr:pic>
    <xdr:clientData/>
  </xdr:twoCellAnchor>
  <xdr:oneCellAnchor>
    <xdr:from>
      <xdr:col>1</xdr:col>
      <xdr:colOff>584740</xdr:colOff>
      <xdr:row>1</xdr:row>
      <xdr:rowOff>183744</xdr:rowOff>
    </xdr:from>
    <xdr:ext cx="2199531" cy="156724"/>
    <xdr:sp macro="" textlink="">
      <xdr:nvSpPr>
        <xdr:cNvPr id="31" name="TextBox 30">
          <a:extLst>
            <a:ext uri="{FF2B5EF4-FFF2-40B4-BE49-F238E27FC236}">
              <a16:creationId xmlns:a16="http://schemas.microsoft.com/office/drawing/2014/main" id="{3A3ABC3B-C7AE-A817-F658-897C86BEC7D5}"/>
            </a:ext>
          </a:extLst>
        </xdr:cNvPr>
        <xdr:cNvSpPr txBox="1"/>
      </xdr:nvSpPr>
      <xdr:spPr>
        <a:xfrm>
          <a:off x="1195421" y="367489"/>
          <a:ext cx="2199531" cy="156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IN" sz="1100"/>
            <a:t>                Monthly</a:t>
          </a:r>
          <a:r>
            <a:rPr lang="en-IN" sz="1100" baseline="0"/>
            <a:t> Report</a:t>
          </a:r>
          <a:endParaRPr lang="en-IN" sz="1100"/>
        </a:p>
      </xdr:txBody>
    </xdr:sp>
    <xdr:clientData/>
  </xdr:oneCellAnchor>
  <xdr:oneCellAnchor>
    <xdr:from>
      <xdr:col>1</xdr:col>
      <xdr:colOff>567447</xdr:colOff>
      <xdr:row>5</xdr:row>
      <xdr:rowOff>86469</xdr:rowOff>
    </xdr:from>
    <xdr:ext cx="1183531" cy="145915"/>
    <xdr:sp macro="" textlink="">
      <xdr:nvSpPr>
        <xdr:cNvPr id="32" name="TextBox 31">
          <a:extLst>
            <a:ext uri="{FF2B5EF4-FFF2-40B4-BE49-F238E27FC236}">
              <a16:creationId xmlns:a16="http://schemas.microsoft.com/office/drawing/2014/main" id="{6F2157E0-27C3-CC70-A6E2-E1DFA075405A}"/>
            </a:ext>
          </a:extLst>
        </xdr:cNvPr>
        <xdr:cNvSpPr txBox="1"/>
      </xdr:nvSpPr>
      <xdr:spPr>
        <a:xfrm>
          <a:off x="1178128" y="1005192"/>
          <a:ext cx="1183531" cy="145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IN" sz="900"/>
            <a:t>              No.</a:t>
          </a:r>
          <a:r>
            <a:rPr lang="en-IN" sz="900" baseline="0"/>
            <a:t> of Patient</a:t>
          </a:r>
          <a:endParaRPr lang="en-IN" sz="900"/>
        </a:p>
      </xdr:txBody>
    </xdr:sp>
    <xdr:clientData/>
  </xdr:oneCellAnchor>
  <xdr:oneCellAnchor>
    <xdr:from>
      <xdr:col>1</xdr:col>
      <xdr:colOff>459362</xdr:colOff>
      <xdr:row>4</xdr:row>
      <xdr:rowOff>48638</xdr:rowOff>
    </xdr:from>
    <xdr:ext cx="1183531" cy="156723"/>
    <xdr:sp macro="" textlink="'Pivot Report'!A8">
      <xdr:nvSpPr>
        <xdr:cNvPr id="35" name="TextBox 34">
          <a:extLst>
            <a:ext uri="{FF2B5EF4-FFF2-40B4-BE49-F238E27FC236}">
              <a16:creationId xmlns:a16="http://schemas.microsoft.com/office/drawing/2014/main" id="{8E52771D-5E88-70CC-B363-80DED60306B6}"/>
            </a:ext>
          </a:extLst>
        </xdr:cNvPr>
        <xdr:cNvSpPr txBox="1"/>
      </xdr:nvSpPr>
      <xdr:spPr>
        <a:xfrm>
          <a:off x="1070043" y="783617"/>
          <a:ext cx="1183531" cy="15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540000" tIns="0" rIns="0" bIns="0" rtlCol="0" anchor="t">
          <a:noAutofit/>
        </a:bodyPr>
        <a:lstStyle/>
        <a:p>
          <a:fld id="{2E28606F-BADB-4F27-B065-78109CB35ABB}" type="TxLink">
            <a:rPr lang="en-US" sz="1100" b="0" i="0" u="none" strike="noStrike">
              <a:solidFill>
                <a:srgbClr val="000000"/>
              </a:solidFill>
              <a:latin typeface="Aptos Narrow"/>
            </a:rPr>
            <a:t>464</a:t>
          </a:fld>
          <a:endParaRPr lang="en-IN" sz="1100"/>
        </a:p>
      </xdr:txBody>
    </xdr:sp>
    <xdr:clientData/>
  </xdr:oneCellAnchor>
  <xdr:oneCellAnchor>
    <xdr:from>
      <xdr:col>4</xdr:col>
      <xdr:colOff>10808</xdr:colOff>
      <xdr:row>5</xdr:row>
      <xdr:rowOff>43235</xdr:rowOff>
    </xdr:from>
    <xdr:ext cx="1075447" cy="205362"/>
    <xdr:sp macro="" textlink="">
      <xdr:nvSpPr>
        <xdr:cNvPr id="36" name="TextBox 35">
          <a:extLst>
            <a:ext uri="{FF2B5EF4-FFF2-40B4-BE49-F238E27FC236}">
              <a16:creationId xmlns:a16="http://schemas.microsoft.com/office/drawing/2014/main" id="{3C8AF6EC-B625-522C-F008-182DEB4BF3EB}"/>
            </a:ext>
          </a:extLst>
        </xdr:cNvPr>
        <xdr:cNvSpPr txBox="1"/>
      </xdr:nvSpPr>
      <xdr:spPr>
        <a:xfrm>
          <a:off x="2453531" y="961958"/>
          <a:ext cx="1075447" cy="205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IN" sz="1100"/>
            <a:t>       </a:t>
          </a:r>
          <a:r>
            <a:rPr lang="en-IN" sz="900"/>
            <a:t>Average Wait Time</a:t>
          </a:r>
        </a:p>
      </xdr:txBody>
    </xdr:sp>
    <xdr:clientData/>
  </xdr:oneCellAnchor>
  <xdr:oneCellAnchor>
    <xdr:from>
      <xdr:col>5</xdr:col>
      <xdr:colOff>589065</xdr:colOff>
      <xdr:row>5</xdr:row>
      <xdr:rowOff>81064</xdr:rowOff>
    </xdr:from>
    <xdr:ext cx="1183531" cy="221575"/>
    <xdr:sp macro="" textlink="">
      <xdr:nvSpPr>
        <xdr:cNvPr id="38" name="TextBox 37">
          <a:extLst>
            <a:ext uri="{FF2B5EF4-FFF2-40B4-BE49-F238E27FC236}">
              <a16:creationId xmlns:a16="http://schemas.microsoft.com/office/drawing/2014/main" id="{13C57099-EC5C-3C16-7AC9-32D460E5411D}"/>
            </a:ext>
          </a:extLst>
        </xdr:cNvPr>
        <xdr:cNvSpPr txBox="1"/>
      </xdr:nvSpPr>
      <xdr:spPr>
        <a:xfrm>
          <a:off x="3642469" y="999787"/>
          <a:ext cx="1183531" cy="221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IN" sz="900"/>
            <a:t>   Patient</a:t>
          </a:r>
          <a:r>
            <a:rPr lang="en-IN" sz="900" baseline="0"/>
            <a:t> Satifaction score</a:t>
          </a:r>
          <a:endParaRPr lang="en-IN" sz="900"/>
        </a:p>
      </xdr:txBody>
    </xdr:sp>
    <xdr:clientData/>
  </xdr:oneCellAnchor>
  <xdr:oneCellAnchor>
    <xdr:from>
      <xdr:col>6</xdr:col>
      <xdr:colOff>140512</xdr:colOff>
      <xdr:row>4</xdr:row>
      <xdr:rowOff>16212</xdr:rowOff>
    </xdr:from>
    <xdr:ext cx="1183531" cy="199958"/>
    <xdr:sp macro="" textlink="'Pivot Report'!A27">
      <xdr:nvSpPr>
        <xdr:cNvPr id="40" name="TextBox 39">
          <a:extLst>
            <a:ext uri="{FF2B5EF4-FFF2-40B4-BE49-F238E27FC236}">
              <a16:creationId xmlns:a16="http://schemas.microsoft.com/office/drawing/2014/main" id="{0931C0F9-0A46-A0CF-B378-E160B49493BF}"/>
            </a:ext>
          </a:extLst>
        </xdr:cNvPr>
        <xdr:cNvSpPr txBox="1"/>
      </xdr:nvSpPr>
      <xdr:spPr>
        <a:xfrm>
          <a:off x="3804597" y="751191"/>
          <a:ext cx="1183531" cy="199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468000" tIns="0" rIns="0" bIns="0" rtlCol="0" anchor="t">
          <a:noAutofit/>
        </a:bodyPr>
        <a:lstStyle/>
        <a:p>
          <a:fld id="{EE7B3ECF-ACE2-4106-9F56-D20F69622193}" type="TxLink">
            <a:rPr lang="en-US" sz="1100" b="0" i="0" u="none" strike="noStrike">
              <a:solidFill>
                <a:srgbClr val="000000"/>
              </a:solidFill>
              <a:latin typeface="Aptos Narrow"/>
            </a:rPr>
            <a:t>4.99</a:t>
          </a:fld>
          <a:endParaRPr lang="en-IN" sz="1100"/>
        </a:p>
      </xdr:txBody>
    </xdr:sp>
    <xdr:clientData/>
  </xdr:oneCellAnchor>
  <xdr:oneCellAnchor>
    <xdr:from>
      <xdr:col>3</xdr:col>
      <xdr:colOff>556638</xdr:colOff>
      <xdr:row>4</xdr:row>
      <xdr:rowOff>37830</xdr:rowOff>
    </xdr:from>
    <xdr:ext cx="1183531" cy="172936"/>
    <xdr:sp macro="" textlink="'Pivot Report'!A21">
      <xdr:nvSpPr>
        <xdr:cNvPr id="41" name="TextBox 40">
          <a:extLst>
            <a:ext uri="{FF2B5EF4-FFF2-40B4-BE49-F238E27FC236}">
              <a16:creationId xmlns:a16="http://schemas.microsoft.com/office/drawing/2014/main" id="{1719C1A0-0810-14FA-05AD-DDBAD563EBA9}"/>
            </a:ext>
          </a:extLst>
        </xdr:cNvPr>
        <xdr:cNvSpPr txBox="1"/>
      </xdr:nvSpPr>
      <xdr:spPr>
        <a:xfrm>
          <a:off x="2388681" y="772809"/>
          <a:ext cx="1183531" cy="17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468000" tIns="0" rIns="0" bIns="0" rtlCol="0" anchor="t">
          <a:noAutofit/>
        </a:bodyPr>
        <a:lstStyle/>
        <a:p>
          <a:fld id="{5AEA024F-FB1D-46CC-99DC-BD2917749A8F}" type="TxLink">
            <a:rPr lang="en-US" sz="1100" b="0" i="0" u="none" strike="noStrike">
              <a:solidFill>
                <a:srgbClr val="000000"/>
              </a:solidFill>
              <a:latin typeface="Aptos Narrow"/>
            </a:rPr>
            <a:t>34.72</a:t>
          </a:fld>
          <a:endParaRPr lang="en-IN" sz="1100"/>
        </a:p>
      </xdr:txBody>
    </xdr:sp>
    <xdr:clientData/>
  </xdr:oneCellAnchor>
  <xdr:twoCellAnchor editAs="oneCell">
    <xdr:from>
      <xdr:col>1</xdr:col>
      <xdr:colOff>453959</xdr:colOff>
      <xdr:row>3</xdr:row>
      <xdr:rowOff>162128</xdr:rowOff>
    </xdr:from>
    <xdr:to>
      <xdr:col>2</xdr:col>
      <xdr:colOff>183745</xdr:colOff>
      <xdr:row>5</xdr:row>
      <xdr:rowOff>135106</xdr:rowOff>
    </xdr:to>
    <xdr:pic>
      <xdr:nvPicPr>
        <xdr:cNvPr id="43" name="Graphic 42" descr="Office worker male with solid fill">
          <a:extLst>
            <a:ext uri="{FF2B5EF4-FFF2-40B4-BE49-F238E27FC236}">
              <a16:creationId xmlns:a16="http://schemas.microsoft.com/office/drawing/2014/main" id="{E7DBDD66-DBA2-030F-713D-F954D57ADEF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4640" y="713362"/>
          <a:ext cx="340467" cy="340467"/>
        </a:xfrm>
        <a:prstGeom prst="rect">
          <a:avLst/>
        </a:prstGeom>
      </xdr:spPr>
    </xdr:pic>
    <xdr:clientData/>
  </xdr:twoCellAnchor>
  <xdr:twoCellAnchor editAs="oneCell">
    <xdr:from>
      <xdr:col>6</xdr:col>
      <xdr:colOff>81063</xdr:colOff>
      <xdr:row>3</xdr:row>
      <xdr:rowOff>118893</xdr:rowOff>
    </xdr:from>
    <xdr:to>
      <xdr:col>6</xdr:col>
      <xdr:colOff>378298</xdr:colOff>
      <xdr:row>5</xdr:row>
      <xdr:rowOff>48639</xdr:rowOff>
    </xdr:to>
    <xdr:pic>
      <xdr:nvPicPr>
        <xdr:cNvPr id="45" name="Graphic 44" descr="Rating Star with solid fill">
          <a:extLst>
            <a:ext uri="{FF2B5EF4-FFF2-40B4-BE49-F238E27FC236}">
              <a16:creationId xmlns:a16="http://schemas.microsoft.com/office/drawing/2014/main" id="{FF08052C-39AB-E9D5-90F9-05D023CE975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45148" y="670127"/>
          <a:ext cx="297235" cy="297235"/>
        </a:xfrm>
        <a:prstGeom prst="rect">
          <a:avLst/>
        </a:prstGeom>
      </xdr:spPr>
    </xdr:pic>
    <xdr:clientData/>
  </xdr:twoCellAnchor>
  <xdr:twoCellAnchor editAs="oneCell">
    <xdr:from>
      <xdr:col>3</xdr:col>
      <xdr:colOff>540426</xdr:colOff>
      <xdr:row>4</xdr:row>
      <xdr:rowOff>16213</xdr:rowOff>
    </xdr:from>
    <xdr:to>
      <xdr:col>4</xdr:col>
      <xdr:colOff>167533</xdr:colOff>
      <xdr:row>5</xdr:row>
      <xdr:rowOff>70256</xdr:rowOff>
    </xdr:to>
    <xdr:pic>
      <xdr:nvPicPr>
        <xdr:cNvPr id="47" name="Graphic 46" descr="Hourglass Finished with solid fill">
          <a:extLst>
            <a:ext uri="{FF2B5EF4-FFF2-40B4-BE49-F238E27FC236}">
              <a16:creationId xmlns:a16="http://schemas.microsoft.com/office/drawing/2014/main" id="{3580FA44-B0B5-E01B-465E-7D824DFE4CD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72469" y="751192"/>
          <a:ext cx="237787" cy="237787"/>
        </a:xfrm>
        <a:prstGeom prst="rect">
          <a:avLst/>
        </a:prstGeom>
      </xdr:spPr>
    </xdr:pic>
    <xdr:clientData/>
  </xdr:twoCellAnchor>
  <xdr:twoCellAnchor editAs="oneCell">
    <xdr:from>
      <xdr:col>0</xdr:col>
      <xdr:colOff>232383</xdr:colOff>
      <xdr:row>4</xdr:row>
      <xdr:rowOff>48637</xdr:rowOff>
    </xdr:from>
    <xdr:to>
      <xdr:col>1</xdr:col>
      <xdr:colOff>340468</xdr:colOff>
      <xdr:row>18</xdr:row>
      <xdr:rowOff>16213</xdr:rowOff>
    </xdr:to>
    <mc:AlternateContent xmlns:mc="http://schemas.openxmlformats.org/markup-compatibility/2006">
      <mc:Choice xmlns:a14="http://schemas.microsoft.com/office/drawing/2010/main" Requires="a14">
        <xdr:graphicFrame macro="">
          <xdr:nvGraphicFramePr>
            <xdr:cNvPr id="50" name="Date (Month)">
              <a:extLst>
                <a:ext uri="{FF2B5EF4-FFF2-40B4-BE49-F238E27FC236}">
                  <a16:creationId xmlns:a16="http://schemas.microsoft.com/office/drawing/2014/main" id="{1B38498B-6907-4EEA-AD15-9CA4DDCFE6C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32383" y="783616"/>
              <a:ext cx="718766" cy="2540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453957</xdr:colOff>
      <xdr:row>5</xdr:row>
      <xdr:rowOff>86467</xdr:rowOff>
    </xdr:from>
    <xdr:to>
      <xdr:col>3</xdr:col>
      <xdr:colOff>589063</xdr:colOff>
      <xdr:row>8</xdr:row>
      <xdr:rowOff>10808</xdr:rowOff>
    </xdr:to>
    <xdr:graphicFrame macro="">
      <xdr:nvGraphicFramePr>
        <xdr:cNvPr id="51" name="Chart 50">
          <a:hlinkClick xmlns:r="http://schemas.openxmlformats.org/officeDocument/2006/relationships" r:id="rId8"/>
          <a:extLst>
            <a:ext uri="{FF2B5EF4-FFF2-40B4-BE49-F238E27FC236}">
              <a16:creationId xmlns:a16="http://schemas.microsoft.com/office/drawing/2014/main" id="{89DF1F67-5D2A-4873-BFF5-EBC1B3D8A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459361</xdr:colOff>
      <xdr:row>5</xdr:row>
      <xdr:rowOff>48638</xdr:rowOff>
    </xdr:from>
    <xdr:to>
      <xdr:col>6</xdr:col>
      <xdr:colOff>232382</xdr:colOff>
      <xdr:row>8</xdr:row>
      <xdr:rowOff>21617</xdr:rowOff>
    </xdr:to>
    <xdr:graphicFrame macro="">
      <xdr:nvGraphicFramePr>
        <xdr:cNvPr id="52" name="Chart 51">
          <a:hlinkClick xmlns:r="http://schemas.openxmlformats.org/officeDocument/2006/relationships" r:id="rId10"/>
          <a:extLst>
            <a:ext uri="{FF2B5EF4-FFF2-40B4-BE49-F238E27FC236}">
              <a16:creationId xmlns:a16="http://schemas.microsoft.com/office/drawing/2014/main" id="{570086D9-BFF9-413D-AB9A-37A27E67F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535022</xdr:colOff>
      <xdr:row>5</xdr:row>
      <xdr:rowOff>16213</xdr:rowOff>
    </xdr:from>
    <xdr:to>
      <xdr:col>8</xdr:col>
      <xdr:colOff>54043</xdr:colOff>
      <xdr:row>8</xdr:row>
      <xdr:rowOff>54042</xdr:rowOff>
    </xdr:to>
    <xdr:graphicFrame macro="">
      <xdr:nvGraphicFramePr>
        <xdr:cNvPr id="53" name="Chart 52">
          <a:extLst>
            <a:ext uri="{FF2B5EF4-FFF2-40B4-BE49-F238E27FC236}">
              <a16:creationId xmlns:a16="http://schemas.microsoft.com/office/drawing/2014/main" id="{A1A16782-86C8-4F1B-BB3A-AC8CC2F7C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491787</xdr:colOff>
          <xdr:row>8</xdr:row>
          <xdr:rowOff>16213</xdr:rowOff>
        </xdr:from>
        <xdr:to>
          <xdr:col>7</xdr:col>
          <xdr:colOff>513404</xdr:colOff>
          <xdr:row>11</xdr:row>
          <xdr:rowOff>86469</xdr:rowOff>
        </xdr:to>
        <xdr:pic>
          <xdr:nvPicPr>
            <xdr:cNvPr id="57" name="Picture 56">
              <a:extLst>
                <a:ext uri="{FF2B5EF4-FFF2-40B4-BE49-F238E27FC236}">
                  <a16:creationId xmlns:a16="http://schemas.microsoft.com/office/drawing/2014/main" id="{550D7299-B99E-32E8-6A76-9A319E439913}"/>
                </a:ext>
              </a:extLst>
            </xdr:cNvPr>
            <xdr:cNvPicPr>
              <a:picLocks noChangeAspect="1" noChangeArrowheads="1"/>
              <a:extLst>
                <a:ext uri="{84589F7E-364E-4C9E-8A38-B11213B215E9}">
                  <a14:cameraTool cellRange="'Pivot Report'!$A$49:$C$51" spid="_x0000_s2082"/>
                </a:ext>
              </a:extLst>
            </xdr:cNvPicPr>
          </xdr:nvPicPr>
          <xdr:blipFill>
            <a:blip xmlns:r="http://schemas.openxmlformats.org/officeDocument/2006/relationships" r:embed="rId13"/>
            <a:srcRect/>
            <a:stretch>
              <a:fillRect/>
            </a:stretch>
          </xdr:blipFill>
          <xdr:spPr bwMode="auto">
            <a:xfrm>
              <a:off x="1102468" y="1486170"/>
              <a:ext cx="3685702" cy="62149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8</xdr:col>
      <xdr:colOff>75660</xdr:colOff>
      <xdr:row>0</xdr:row>
      <xdr:rowOff>135107</xdr:rowOff>
    </xdr:from>
    <xdr:to>
      <xdr:col>15</xdr:col>
      <xdr:colOff>313446</xdr:colOff>
      <xdr:row>6</xdr:row>
      <xdr:rowOff>75661</xdr:rowOff>
    </xdr:to>
    <xdr:graphicFrame macro="">
      <xdr:nvGraphicFramePr>
        <xdr:cNvPr id="58" name="Chart 57">
          <a:extLst>
            <a:ext uri="{FF2B5EF4-FFF2-40B4-BE49-F238E27FC236}">
              <a16:creationId xmlns:a16="http://schemas.microsoft.com/office/drawing/2014/main" id="{2018580D-5A2C-4A05-8D06-44AE5D53E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9</xdr:col>
      <xdr:colOff>351276</xdr:colOff>
      <xdr:row>6</xdr:row>
      <xdr:rowOff>118894</xdr:rowOff>
    </xdr:from>
    <xdr:ext cx="2837234" cy="162128"/>
    <xdr:sp macro="" textlink="'Pivot Report'!A8">
      <xdr:nvSpPr>
        <xdr:cNvPr id="61" name="TextBox 60">
          <a:extLst>
            <a:ext uri="{FF2B5EF4-FFF2-40B4-BE49-F238E27FC236}">
              <a16:creationId xmlns:a16="http://schemas.microsoft.com/office/drawing/2014/main" id="{47B1897B-01AD-409A-B6E3-40321C380483}"/>
            </a:ext>
          </a:extLst>
        </xdr:cNvPr>
        <xdr:cNvSpPr txBox="1"/>
      </xdr:nvSpPr>
      <xdr:spPr>
        <a:xfrm>
          <a:off x="5847404" y="1221362"/>
          <a:ext cx="2837234" cy="16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540000" tIns="0" rIns="0" bIns="0" rtlCol="0" anchor="t">
          <a:noAutofit/>
        </a:bodyPr>
        <a:lstStyle/>
        <a:p>
          <a:r>
            <a:rPr lang="en-IN" sz="1000"/>
            <a:t>No.</a:t>
          </a:r>
          <a:r>
            <a:rPr lang="en-IN" sz="1000" baseline="0"/>
            <a:t> of  Patient by Age Group</a:t>
          </a:r>
          <a:endParaRPr lang="en-IN" sz="1000"/>
        </a:p>
      </xdr:txBody>
    </xdr:sp>
    <xdr:clientData/>
  </xdr:oneCellAnchor>
  <xdr:twoCellAnchor>
    <xdr:from>
      <xdr:col>1</xdr:col>
      <xdr:colOff>551233</xdr:colOff>
      <xdr:row>11</xdr:row>
      <xdr:rowOff>151320</xdr:rowOff>
    </xdr:from>
    <xdr:to>
      <xdr:col>4</xdr:col>
      <xdr:colOff>410724</xdr:colOff>
      <xdr:row>18</xdr:row>
      <xdr:rowOff>165371</xdr:rowOff>
    </xdr:to>
    <xdr:graphicFrame macro="">
      <xdr:nvGraphicFramePr>
        <xdr:cNvPr id="62" name="Chart 61">
          <a:extLst>
            <a:ext uri="{FF2B5EF4-FFF2-40B4-BE49-F238E27FC236}">
              <a16:creationId xmlns:a16="http://schemas.microsoft.com/office/drawing/2014/main" id="{E4208C3A-72EC-4DB4-8A6F-CD62BC81D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xdr:col>
      <xdr:colOff>70255</xdr:colOff>
      <xdr:row>17</xdr:row>
      <xdr:rowOff>97276</xdr:rowOff>
    </xdr:from>
    <xdr:ext cx="2134682" cy="167532"/>
    <xdr:sp macro="" textlink="'Pivot Report'!A8">
      <xdr:nvSpPr>
        <xdr:cNvPr id="63" name="TextBox 62">
          <a:extLst>
            <a:ext uri="{FF2B5EF4-FFF2-40B4-BE49-F238E27FC236}">
              <a16:creationId xmlns:a16="http://schemas.microsoft.com/office/drawing/2014/main" id="{6A924963-202D-4BF9-A564-028EB36AAD3F}"/>
            </a:ext>
          </a:extLst>
        </xdr:cNvPr>
        <xdr:cNvSpPr txBox="1"/>
      </xdr:nvSpPr>
      <xdr:spPr>
        <a:xfrm>
          <a:off x="680936" y="3220936"/>
          <a:ext cx="2134682" cy="167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540000" tIns="0" rIns="0" bIns="0" rtlCol="0" anchor="t">
          <a:noAutofit/>
        </a:bodyPr>
        <a:lstStyle/>
        <a:p>
          <a:r>
            <a:rPr lang="en-IN" sz="1000"/>
            <a:t>Patients</a:t>
          </a:r>
          <a:r>
            <a:rPr lang="en-IN" sz="1000" baseline="0"/>
            <a:t> Attended within Time</a:t>
          </a:r>
          <a:endParaRPr lang="en-IN" sz="1000"/>
        </a:p>
      </xdr:txBody>
    </xdr:sp>
    <xdr:clientData/>
  </xdr:oneCellAnchor>
  <xdr:twoCellAnchor>
    <xdr:from>
      <xdr:col>4</xdr:col>
      <xdr:colOff>572851</xdr:colOff>
      <xdr:row>12</xdr:row>
      <xdr:rowOff>48639</xdr:rowOff>
    </xdr:from>
    <xdr:to>
      <xdr:col>7</xdr:col>
      <xdr:colOff>540425</xdr:colOff>
      <xdr:row>18</xdr:row>
      <xdr:rowOff>16213</xdr:rowOff>
    </xdr:to>
    <xdr:graphicFrame macro="">
      <xdr:nvGraphicFramePr>
        <xdr:cNvPr id="64" name="Chart 63">
          <a:extLst>
            <a:ext uri="{FF2B5EF4-FFF2-40B4-BE49-F238E27FC236}">
              <a16:creationId xmlns:a16="http://schemas.microsoft.com/office/drawing/2014/main" id="{C99B3FE1-9B6E-4950-A206-97C86D071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9</xdr:col>
      <xdr:colOff>345873</xdr:colOff>
      <xdr:row>17</xdr:row>
      <xdr:rowOff>6485</xdr:rowOff>
    </xdr:from>
    <xdr:ext cx="2815616" cy="204281"/>
    <xdr:sp macro="" textlink="">
      <xdr:nvSpPr>
        <xdr:cNvPr id="66" name="TextBox 65">
          <a:extLst>
            <a:ext uri="{FF2B5EF4-FFF2-40B4-BE49-F238E27FC236}">
              <a16:creationId xmlns:a16="http://schemas.microsoft.com/office/drawing/2014/main" id="{7AF23116-9D8F-43B9-8870-4441B864F539}"/>
            </a:ext>
          </a:extLst>
        </xdr:cNvPr>
        <xdr:cNvSpPr txBox="1"/>
      </xdr:nvSpPr>
      <xdr:spPr>
        <a:xfrm>
          <a:off x="5842001" y="3130145"/>
          <a:ext cx="2815616" cy="204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540000" tIns="0" rIns="0" bIns="0" rtlCol="0" anchor="t">
          <a:noAutofit/>
        </a:bodyPr>
        <a:lstStyle/>
        <a:p>
          <a:r>
            <a:rPr lang="en-IN" sz="1000"/>
            <a:t>No.</a:t>
          </a:r>
          <a:r>
            <a:rPr lang="en-IN" sz="1000" baseline="0"/>
            <a:t> of Patient by Department Referal</a:t>
          </a:r>
        </a:p>
        <a:p>
          <a:endParaRPr lang="en-IN" sz="1000"/>
        </a:p>
      </xdr:txBody>
    </xdr:sp>
    <xdr:clientData/>
  </xdr:oneCellAnchor>
  <xdr:twoCellAnchor>
    <xdr:from>
      <xdr:col>8</xdr:col>
      <xdr:colOff>199959</xdr:colOff>
      <xdr:row>7</xdr:row>
      <xdr:rowOff>97277</xdr:rowOff>
    </xdr:from>
    <xdr:to>
      <xdr:col>15</xdr:col>
      <xdr:colOff>237787</xdr:colOff>
      <xdr:row>17</xdr:row>
      <xdr:rowOff>81064</xdr:rowOff>
    </xdr:to>
    <xdr:graphicFrame macro="">
      <xdr:nvGraphicFramePr>
        <xdr:cNvPr id="67" name="Chart 66">
          <a:extLst>
            <a:ext uri="{FF2B5EF4-FFF2-40B4-BE49-F238E27FC236}">
              <a16:creationId xmlns:a16="http://schemas.microsoft.com/office/drawing/2014/main" id="{D2982FB4-FBED-4F41-9B69-69934BF0F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297235</xdr:colOff>
      <xdr:row>0</xdr:row>
      <xdr:rowOff>91872</xdr:rowOff>
    </xdr:from>
    <xdr:to>
      <xdr:col>7</xdr:col>
      <xdr:colOff>567447</xdr:colOff>
      <xdr:row>3</xdr:row>
      <xdr:rowOff>54043</xdr:rowOff>
    </xdr:to>
    <mc:AlternateContent xmlns:mc="http://schemas.openxmlformats.org/markup-compatibility/2006">
      <mc:Choice xmlns:a14="http://schemas.microsoft.com/office/drawing/2010/main" Requires="a14">
        <xdr:graphicFrame macro="">
          <xdr:nvGraphicFramePr>
            <xdr:cNvPr id="75" name="Date (Year) 1">
              <a:extLst>
                <a:ext uri="{FF2B5EF4-FFF2-40B4-BE49-F238E27FC236}">
                  <a16:creationId xmlns:a16="http://schemas.microsoft.com/office/drawing/2014/main" id="{637A3757-C8CC-462F-95FC-37F7381220B7}"/>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350639" y="91872"/>
              <a:ext cx="1491574" cy="513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0115737" createdVersion="5" refreshedVersion="8" minRefreshableVersion="3" recordCount="0" supportSubquery="1" supportAdvancedDrill="1" xr:uid="{6FD9C3EC-EB2B-4839-B945-076E6A81FA78}">
  <cacheSource type="external" connectionId="5"/>
  <cacheFields count="4">
    <cacheField name="[Measures].[Distinct Count of Patient Id]" caption="Distinct Count of Patient Id" numFmtId="0" hierarchy="25"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0462961" createdVersion="5" refreshedVersion="8" minRefreshableVersion="3" recordCount="0" supportSubquery="1" supportAdvancedDrill="1" xr:uid="{5FF84F15-B596-4093-B5B0-864FBE52ABD2}">
  <cacheSource type="external" connectionId="5"/>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0694445" createdVersion="5" refreshedVersion="8" minRefreshableVersion="3" recordCount="0" supportSubquery="1" supportAdvancedDrill="1" xr:uid="{858424D6-1CF8-4C9A-AE7D-DF8FDE181B51}">
  <cacheSource type="external" connectionId="5"/>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1041669" createdVersion="5" refreshedVersion="8" minRefreshableVersion="3" recordCount="0" supportSubquery="1" supportAdvancedDrill="1" xr:uid="{AB86EC68-4692-400B-A945-6AA8BC58A155}">
  <cacheSource type="external" connectionId="5"/>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1620369" createdVersion="5" refreshedVersion="8" minRefreshableVersion="3" recordCount="0" supportSubquery="1" supportAdvancedDrill="1" xr:uid="{AF3C0EA9-1D72-497F-BA32-EA3D863D79AF}">
  <cacheSource type="external" connectionId="5"/>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2314816" createdVersion="5" refreshedVersion="8" minRefreshableVersion="3" recordCount="0" supportSubquery="1" supportAdvancedDrill="1" xr:uid="{79370539-DE9D-43ED-B66A-47C6CEB8CA64}">
  <cacheSource type="external" connectionId="5"/>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3009262" createdVersion="5" refreshedVersion="8" minRefreshableVersion="3" recordCount="0" supportSubquery="1" supportAdvancedDrill="1" xr:uid="{466B6768-DD3B-4F43-8650-70871C682CDB}">
  <cacheSource type="external" connectionId="5"/>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3587963" createdVersion="5" refreshedVersion="8" minRefreshableVersion="3" recordCount="0" supportSubquery="1" supportAdvancedDrill="1" xr:uid="{25286ECB-5656-48F2-9BE7-B80AFB26266A}">
  <cacheSource type="external" connectionId="5"/>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2" level="32767"/>
    <cacheField name="[Hospital Emergency Room Data].[Age Group].[Age Group]" caption="Age Group" numFmtId="0" hierarchy="17"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4166663" createdVersion="5" refreshedVersion="8" minRefreshableVersion="3" recordCount="0" supportSubquery="1" supportAdvancedDrill="1" xr:uid="{FDF04FDB-6F5E-4843-BC55-4C37BD27011E}">
  <cacheSource type="external" connectionId="5"/>
  <cacheFields count="4">
    <cacheField name="[Calenda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8" level="1">
      <sharedItems count="2">
        <s v="Delay"/>
        <s v="Ontime"/>
      </sharedItems>
    </cacheField>
    <cacheField name="[Measures].[Count of Calculated Column 1]" caption="Count of Calculated Column 1"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486111" createdVersion="5" refreshedVersion="8" minRefreshableVersion="3" recordCount="0" supportSubquery="1" supportAdvancedDrill="1" xr:uid="{A65CE675-1E52-48D9-B7AA-B446712E9ABE}">
  <cacheSource type="external" connectionId="5"/>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4"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5324072" createdVersion="5" refreshedVersion="8" minRefreshableVersion="3" recordCount="0" supportSubquery="1" supportAdvancedDrill="1" xr:uid="{783FAC96-8960-4337-B9D0-1B5D0E91A31E}">
  <cacheSource type="external" connectionId="5"/>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5"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43055902779" createdVersion="5" refreshedVersion="8" minRefreshableVersion="3" recordCount="0" supportSubquery="1" supportAdvancedDrill="1" xr:uid="{CA4646A1-0A21-4C50-93B8-3219B4247FEA}">
  <cacheSource type="external" connectionId="5"/>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4.134811226853" createdVersion="3" refreshedVersion="8" minRefreshableVersion="3" recordCount="0" supportSubquery="1" supportAdvancedDrill="1" xr:uid="{60E31431-4115-41BB-BEDC-09FE702E6EF6}">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873382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8B83D-D8E0-42C2-8A42-B2594E70EA01}" name="PivotTable12" cacheId="3503" applyNumberFormats="0" applyBorderFormats="0" applyFontFormats="0" applyPatternFormats="0" applyAlignmentFormats="0" applyWidthHeightFormats="1" dataCaption="Values" tag="4f1baff0-e826-48d8-97c5-8b38c24cd607" updatedVersion="8" minRefreshableVersion="3" subtotalHiddenItems="1" itemPrintTitles="1" createdVersion="5" indent="0" outline="1" outlineData="1" multipleFieldFilters="0" chartFormat="21">
  <location ref="O65:P69" firstHeaderRow="1" firstDataRow="5" firstDataCol="0"/>
  <pivotFields count="4">
    <pivotField axis="axisCol" allDrilled="1" subtotalTop="0" showAll="0" dataSourceSort="1" defaultSubtotal="0">
      <items count="1">
        <item x="0" e="0"/>
      </items>
    </pivotField>
    <pivotField axis="axisCol"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Col" allDrilled="1" subtotalTop="0" showAll="0" dataSourceSort="1" defaultSubtotal="0">
      <items count="1">
        <item x="0" e="0"/>
      </items>
    </pivotField>
    <pivotField axis="axisCol" allDrilled="1" subtotalTop="0" showAll="0" dataSourceSort="1" defaultSubtotal="0">
      <items count="1">
        <item s="1" x="0" e="0"/>
      </items>
    </pivotField>
  </pivotFields>
  <colFields count="4">
    <field x="3"/>
    <field x="2"/>
    <field x="0"/>
    <field x="1"/>
  </colFields>
  <colItems count="2">
    <i>
      <x/>
    </i>
    <i t="grand">
      <x/>
    </i>
  </colItems>
  <formats count="2">
    <format dxfId="620">
      <pivotArea outline="0" collapsedLevelsAreSubtotals="1" fieldPosition="0"/>
    </format>
    <format dxfId="621">
      <pivotArea grandRow="1" outline="0" collapsedLevelsAreSubtotals="1" fieldPosition="0"/>
    </format>
  </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4">
    <colHierarchyUsage hierarchyUsage="3"/>
    <colHierarchyUsage hierarchyUsage="4"/>
    <colHierarchyUsage hierarchyUsage="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A24A32-0C4E-488B-91ED-41C43DD96F4A}" name="PivotTable11" cacheId="3500" applyNumberFormats="0" applyBorderFormats="0" applyFontFormats="0" applyPatternFormats="0" applyAlignmentFormats="0" applyWidthHeightFormats="1" dataCaption="Values" tag="140e3cca-9a22-41f4-9922-4e4ef77af388" updatedVersion="8" minRefreshableVersion="3" subtotalHiddenItems="1" itemPrintTitles="1" createdVersion="5" indent="0" outline="1" outlineData="1" multipleFieldFilters="0" chartFormat="21">
  <location ref="K66:L7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v="3"/>
    </i>
    <i>
      <x v="6"/>
    </i>
    <i>
      <x/>
    </i>
    <i>
      <x v="5"/>
    </i>
    <i>
      <x v="2"/>
    </i>
    <i>
      <x v="4"/>
    </i>
    <i t="grand">
      <x/>
    </i>
  </rowItems>
  <colItems count="1">
    <i/>
  </colItems>
  <dataFields count="1">
    <dataField name="Count of Department Referral" fld="1" subtotal="count" baseField="0" baseItem="0"/>
  </dataFields>
  <formats count="2">
    <format dxfId="832">
      <pivotArea outline="0" collapsedLevelsAreSubtotals="1" fieldPosition="0"/>
    </format>
    <format dxfId="833">
      <pivotArea grandRow="1"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6B71F6-199E-4261-8F87-FF6D80BC1E9A}" name="PivotTable10" cacheId="3497" applyNumberFormats="0" applyBorderFormats="0" applyFontFormats="0" applyPatternFormats="0" applyAlignmentFormats="0" applyWidthHeightFormats="1" dataCaption="Values" tag="bf6a4836-ba8b-463a-9d55-2d47fc87cadd" updatedVersion="8" minRefreshableVersion="3" subtotalHiddenItems="1" itemPrintTitles="1" createdVersion="5" indent="0" outline="1" outlineData="1" multipleFieldFilters="0" chartFormat="15">
  <location ref="G67:H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834">
      <pivotArea outline="0" collapsedLevelsAreSubtotals="1" fieldPosition="0"/>
    </format>
    <format dxfId="835">
      <pivotArea grandRow="1"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6D2ED-91FA-408B-981C-725ECAB5D2CF}" name="PivotTable9" cacheId="3494" applyNumberFormats="0" applyBorderFormats="0" applyFontFormats="0" applyPatternFormats="0" applyAlignmentFormats="0" applyWidthHeightFormats="1" dataCaption="Values" tag="2db6317f-2f86-4c75-aea9-9eac8fdb08fb" updatedVersion="8" minRefreshableVersion="3" subtotalHiddenItems="1" itemPrintTitles="1" createdVersion="5" indent="0" outline="1" outlineData="1" multipleFieldFilters="0" chartFormat="11">
  <location ref="D62:E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3">
    <format dxfId="840">
      <pivotArea outline="0" collapsedLevelsAreSubtotals="1" fieldPosition="0"/>
    </format>
    <format dxfId="837">
      <pivotArea grandRow="1" outline="0" collapsedLevelsAreSubtotals="1" fieldPosition="0"/>
    </format>
    <format dxfId="836">
      <pivotArea collapsedLevelsAreSubtotals="1" fieldPosition="0">
        <references count="1">
          <reference field="1" count="0"/>
        </references>
      </pivotArea>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D810A7-0BCA-4C65-A39D-D2F46828EFCA}" name="PivotTable8" cacheId="3491" applyNumberFormats="0" applyBorderFormats="0" applyFontFormats="0" applyPatternFormats="0" applyAlignmentFormats="0" applyWidthHeightFormats="1" dataCaption="Values" tag="81090429-6761-40e2-bd7f-52fbc00f210c" updatedVersion="8" minRefreshableVersion="3" subtotalHiddenItems="1" itemPrintTitles="1" createdVersion="5" indent="0" outline="1" outlineData="1" multipleFieldFilters="0" chartFormat="7">
  <location ref="G48:H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842">
      <pivotArea outline="0" collapsedLevelsAreSubtotals="1" fieldPosition="0"/>
    </format>
    <format dxfId="841">
      <pivotArea collapsedLevelsAreSubtotals="1" fieldPosition="0">
        <references count="1">
          <reference field="2" count="0"/>
        </references>
      </pivotArea>
    </format>
  </format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57378C-DD2E-4513-B026-53ADC550E29C}" name="PivotTable7" cacheId="3488" applyNumberFormats="0" applyBorderFormats="0" applyFontFormats="0" applyPatternFormats="0" applyAlignmentFormats="0" applyWidthHeightFormats="1" dataCaption="Values" tag="5e159ea2-ae87-4bab-bfcb-1fc3dc1c63bb" updatedVersion="8" minRefreshableVersion="3" subtotalHiddenItems="1" itemPrintTitles="1" createdVersion="5" indent="0" outline="1" outlineData="1" multipleFieldFilters="0" chartFormat="4">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843">
      <pivotArea outline="0" collapsedLevelsAreSubtotals="1" fieldPosition="0"/>
    </format>
    <format dxfId="844">
      <pivotArea collapsedLevelsAreSubtotals="1" fieldPosition="0">
        <references count="1">
          <reference field="2" count="0"/>
        </references>
      </pivotArea>
    </format>
    <format dxfId="845">
      <pivotArea outline="0" fieldPosition="0">
        <references count="1">
          <reference field="4294967294" count="1">
            <x v="1"/>
          </reference>
        </references>
      </pivotArea>
    </format>
  </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D2656-3EA9-4481-8058-F12B3ABA716C}" name="PivotTable6" cacheId="3485" applyNumberFormats="0" applyBorderFormats="0" applyFontFormats="0" applyPatternFormats="0" applyAlignmentFormats="0" applyWidthHeightFormats="1" dataCaption="Values" tag="f909e7c2-cbd6-4abf-93be-2e66e4447708" updatedVersion="8" minRefreshableVersion="3" subtotalHiddenItems="1" itemPrintTitles="1" createdVersion="5" indent="0" outline="1" outlineData="1" multipleFieldFilters="0" chartFormat="23">
  <location ref="O27:P5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3"/>
  </dataFields>
  <formats count="1">
    <format dxfId="846">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6D5FC8-21C7-4FD3-80BD-6A190DBD4A72}" name="PivotTable5" cacheId="3482" applyNumberFormats="0" applyBorderFormats="0" applyFontFormats="0" applyPatternFormats="0" applyAlignmentFormats="0" applyWidthHeightFormats="1" dataCaption="Values" tag="bac63d4a-03e2-42bf-ad01-e48bf7c631aa" updatedVersion="8" minRefreshableVersion="3" subtotalHiddenItems="1" itemPrintTitles="1" createdVersion="5" indent="0" outline="1" outlineData="1" multipleFieldFilters="0" chartFormat="18">
  <location ref="K9:L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47">
      <pivotArea outline="0" collapsedLevelsAreSubtotals="1" fieldPosition="0"/>
    </format>
  </formats>
  <chartFormats count="3">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9574A0-6A07-40A8-8C4D-1A8D5231AC14}" name="PivotTable4" cacheId="3470" applyNumberFormats="0" applyBorderFormats="0" applyFontFormats="0" applyPatternFormats="0" applyAlignmentFormats="0" applyWidthHeightFormats="1" dataCaption="Values" tag="6791600e-755f-4201-a479-fcc4d5ffc3a4" updatedVersion="8" minRefreshableVersion="3" subtotalHiddenItems="1" itemPrintTitles="1" createdVersion="5" indent="0" outline="1" outlineData="1" multipleFieldFilters="0" chartFormat="13">
  <location ref="F9:G41"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AC865F-0752-4243-8088-F58FC696CD69}" name="PivotTable3" cacheId="3479" applyNumberFormats="0" applyBorderFormats="0" applyFontFormats="0" applyPatternFormats="0" applyAlignmentFormats="0" applyWidthHeightFormats="1" dataCaption="Values" tag="77c9d68e-e5d4-4645-873a-c9bdd531c395" updatedVersion="8" minRefreshableVersion="3" subtotalHiddenItems="1" itemPrintTitles="1" createdVersion="5" indent="0" outline="1" outlineData="1" multipleFieldFilters="0">
  <location ref="A26:A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48">
      <pivotArea outline="0" collapsedLevelsAreSubtotals="1" fieldPosition="0"/>
    </format>
  </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87C082-292E-4093-8A63-2E4901E22A78}" name="PivotTable2" cacheId="3476" applyNumberFormats="0" applyBorderFormats="0" applyFontFormats="0" applyPatternFormats="0" applyAlignmentFormats="0" applyWidthHeightFormats="1" dataCaption="Values" tag="2dc3e04f-6bae-4612-bbb4-a0f985e70ff5" updatedVersion="8" minRefreshableVersion="3" subtotalHiddenItems="1" itemPrintTitles="1" createdVersion="5" indent="0" outline="1" outlineData="1" multipleFieldFilters="0">
  <location ref="A20:A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49">
      <pivotArea outline="0" collapsedLevelsAreSubtotals="1" fieldPosition="0"/>
    </format>
  </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CABA51-5429-4453-ADA4-8F47327F36AC}" name="PivotTable1" cacheId="3473" applyNumberFormats="0" applyBorderFormats="0" applyFontFormats="0" applyPatternFormats="0" applyAlignmentFormats="0" applyWidthHeightFormats="1" dataCaption="Values" tag="9c42659d-671b-4089-8f4e-70190a2a3b21"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57A36AA-7680-4FAE-8C4B-B8F25E2453DD}"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Calculated Column 1]"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A62C140-A58F-4858-AB09-1B87336BDA93}"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Calculated Column 1]"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6FB012D-0C12-49E6-A220-C9FA2E2CDEE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38733821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941112C-C239-4A13-8FC5-D7C6A5D35F6F}"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8733821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D8F72A6-DB3B-4FF0-B534-F78C5B1082CE}" cache="Slicer_Date__Month" caption="Date (Month)" showCaption="0" level="1" style="me" rowHeight="172800"/>
  <slicer name="Date (Year) 1" xr10:uid="{0CFDBAF2-30D3-464C-A600-4D99E875EBF3}" cache="Slicer_Date__Year" caption="Date (Year)" columnCount="2" showCaption="0" level="1" style="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F2465-3717-4FD0-BCBB-9286AB9546AF}" name="Table_ExternalData_1" displayName="Table_ExternalData_1" ref="A3:N22" tableType="queryTable" totalsRowShown="0">
  <autoFilter ref="A3:N22" xr:uid="{FFAF2465-3717-4FD0-BCBB-9286AB9546AF}"/>
  <tableColumns count="14">
    <tableColumn id="1" xr3:uid="{048CC7B8-215A-4221-B6BB-9CE6A64B1D9C}" uniqueName="1" name="Hospital Emergency Room Data[Patient Id]" queryTableFieldId="1"/>
    <tableColumn id="2" xr3:uid="{227ABF7C-3639-4AF3-ADD4-D87CE3B9E094}" uniqueName="2" name="Hospital Emergency Room Data[Patient Admission Date]" queryTableFieldId="2" dataDxfId="839"/>
    <tableColumn id="3" xr3:uid="{3C1A6A90-E2D6-4FC3-87C3-5E5D4918293B}" uniqueName="3" name="Hospital Emergency Room Data[Patient Admission Time]" queryTableFieldId="3" dataDxfId="838"/>
    <tableColumn id="4" xr3:uid="{25713B2F-4FCC-4A5E-AB97-145F7F2FE851}" uniqueName="4" name="Hospital Emergency Room Data[Merged]" queryTableFieldId="4"/>
    <tableColumn id="5" xr3:uid="{4702779D-9083-42F8-ADA4-8A65644DCA2D}" uniqueName="5" name="Hospital Emergency Room Data[Patient Gender]" queryTableFieldId="5"/>
    <tableColumn id="6" xr3:uid="{A70E890E-EBF0-4995-AA03-1C2E09AE50FC}" uniqueName="6" name="Hospital Emergency Room Data[Patient Age]" queryTableFieldId="6"/>
    <tableColumn id="7" xr3:uid="{A2B4A0B1-4A05-4BC4-A4E2-549DDEC4B7C0}" uniqueName="7" name="Hospital Emergency Room Data[Patient Race]" queryTableFieldId="7"/>
    <tableColumn id="8" xr3:uid="{9E1BAB43-FBF8-4334-9B66-404DDC68D8CB}" uniqueName="8" name="Hospital Emergency Room Data[Department Referral]" queryTableFieldId="8"/>
    <tableColumn id="9" xr3:uid="{A3314D00-7899-4E83-BE1C-9189543C7342}" uniqueName="9" name="Hospital Emergency Room Data[Patient Admission Flag]" queryTableFieldId="9"/>
    <tableColumn id="10" xr3:uid="{EA8FD923-BAC2-4F96-BFAA-036DD97B29DF}" uniqueName="10" name="Hospital Emergency Room Data[Patient Satisfaction Score]" queryTableFieldId="10"/>
    <tableColumn id="11" xr3:uid="{B2CE5064-B890-4061-ADB0-325E73BB1393}" uniqueName="11" name="Hospital Emergency Room Data[Patient Waittime]" queryTableFieldId="11"/>
    <tableColumn id="12" xr3:uid="{F2F4334F-67BE-48B6-ACB0-05CA5538C812}" uniqueName="12" name="Hospital Emergency Room Data[Patient Admission Flag_1]" queryTableFieldId="12"/>
    <tableColumn id="13" xr3:uid="{227C577F-7B37-4D2A-B6EE-BF916D85E864}" uniqueName="13" name="Hospital Emergency Room Data[Age Group]" queryTableFieldId="13"/>
    <tableColumn id="14" xr3:uid="{D3956510-F963-47CB-9415-37810B7D609F}" uniqueName="14" name="Hospital Emergency Room Data[Calculated Column 1]"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0B0753-07FD-4AA3-9342-37842E5ED560}" name="Table_ExternalData_13" displayName="Table_ExternalData_13" ref="A3:N23" tableType="queryTable" totalsRowShown="0">
  <autoFilter ref="A3:N23" xr:uid="{970B0753-07FD-4AA3-9342-37842E5ED560}"/>
  <tableColumns count="14">
    <tableColumn id="1" xr3:uid="{42715CB5-A515-4EF4-8875-4B7D1A808E23}" uniqueName="1" name="Hospital Emergency Room Data[Patient Id]" queryTableFieldId="1"/>
    <tableColumn id="2" xr3:uid="{3105FBB4-247D-4B16-8190-6DE6CB094B33}" uniqueName="2" name="Hospital Emergency Room Data[Patient Admission Date]" queryTableFieldId="2" dataDxfId="831"/>
    <tableColumn id="3" xr3:uid="{247DEB78-8808-47C1-A551-A871403B6EF8}" uniqueName="3" name="Hospital Emergency Room Data[Patient Admission Time]" queryTableFieldId="3" dataDxfId="830"/>
    <tableColumn id="4" xr3:uid="{C2C80D83-D4E4-48D6-AE25-02334320A4DD}" uniqueName="4" name="Hospital Emergency Room Data[Merged]" queryTableFieldId="4"/>
    <tableColumn id="5" xr3:uid="{3FA21898-7C4E-4AFC-AD81-EE0A17038B57}" uniqueName="5" name="Hospital Emergency Room Data[Patient Gender]" queryTableFieldId="5"/>
    <tableColumn id="6" xr3:uid="{FD52ACB9-B477-4BD7-9321-15805B2D6CDB}" uniqueName="6" name="Hospital Emergency Room Data[Patient Age]" queryTableFieldId="6"/>
    <tableColumn id="7" xr3:uid="{837BCCF6-5293-47FF-A104-90112EF5904E}" uniqueName="7" name="Hospital Emergency Room Data[Patient Race]" queryTableFieldId="7"/>
    <tableColumn id="8" xr3:uid="{7B169410-E5D2-497D-9169-D5D272372711}" uniqueName="8" name="Hospital Emergency Room Data[Department Referral]" queryTableFieldId="8"/>
    <tableColumn id="9" xr3:uid="{D4F2143F-55DD-4496-BDDF-53753428200D}" uniqueName="9" name="Hospital Emergency Room Data[Patient Admission Flag]" queryTableFieldId="9"/>
    <tableColumn id="10" xr3:uid="{A2EB2440-5891-40ED-9029-8699819BBC0D}" uniqueName="10" name="Hospital Emergency Room Data[Patient Satisfaction Score]" queryTableFieldId="10"/>
    <tableColumn id="11" xr3:uid="{4DBDFAAE-076A-4F94-9783-39107504EE46}" uniqueName="11" name="Hospital Emergency Room Data[Patient Waittime]" queryTableFieldId="11"/>
    <tableColumn id="12" xr3:uid="{A9E8EE06-E79F-4B11-8A33-34EEF0AE017E}" uniqueName="12" name="Hospital Emergency Room Data[Patient Admission Flag_1]" queryTableFieldId="12"/>
    <tableColumn id="13" xr3:uid="{CC2342FB-88F1-4500-A444-CF2159F744CF}" uniqueName="13" name="Hospital Emergency Room Data[Age Group]" queryTableFieldId="13"/>
    <tableColumn id="14" xr3:uid="{C3021B91-E31B-481A-B8E5-A4A91A22A296}" uniqueName="14" name="Hospital Emergency Room Data[Calculated Column 1]"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3D86-2925-42B2-BD72-581B4B28CAA5}">
  <dimension ref="A1:N22"/>
  <sheetViews>
    <sheetView tabSelected="1" workbookViewId="0"/>
  </sheetViews>
  <sheetFormatPr defaultRowHeight="14.4" x14ac:dyDescent="0.3"/>
  <cols>
    <col min="1" max="1" width="38.88671875" bestFit="1" customWidth="1"/>
    <col min="2" max="2" width="50.5546875" bestFit="1" customWidth="1"/>
    <col min="3" max="3" width="50.77734375" bestFit="1" customWidth="1"/>
    <col min="4" max="4" width="37"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51.88671875" bestFit="1" customWidth="1"/>
    <col min="13" max="13" width="39.33203125" bestFit="1" customWidth="1"/>
    <col min="14" max="14" width="48.44140625" bestFit="1" customWidth="1"/>
  </cols>
  <sheetData>
    <row r="1" spans="1:14" x14ac:dyDescent="0.3">
      <c r="A1" s="13" t="s">
        <v>120</v>
      </c>
    </row>
    <row r="3" spans="1:14" x14ac:dyDescent="0.3">
      <c r="A3" t="s">
        <v>56</v>
      </c>
      <c r="B3" t="s">
        <v>57</v>
      </c>
      <c r="C3" t="s">
        <v>58</v>
      </c>
      <c r="D3" t="s">
        <v>59</v>
      </c>
      <c r="E3" t="s">
        <v>60</v>
      </c>
      <c r="F3" t="s">
        <v>61</v>
      </c>
      <c r="G3" t="s">
        <v>62</v>
      </c>
      <c r="H3" t="s">
        <v>63</v>
      </c>
      <c r="I3" t="s">
        <v>64</v>
      </c>
      <c r="J3" t="s">
        <v>65</v>
      </c>
      <c r="K3" t="s">
        <v>66</v>
      </c>
      <c r="L3" t="s">
        <v>67</v>
      </c>
      <c r="M3" t="s">
        <v>68</v>
      </c>
      <c r="N3" t="s">
        <v>69</v>
      </c>
    </row>
    <row r="4" spans="1:14" x14ac:dyDescent="0.3">
      <c r="A4" t="s">
        <v>70</v>
      </c>
      <c r="B4" s="11">
        <v>45151</v>
      </c>
      <c r="C4" s="12">
        <v>0.14652777777777778</v>
      </c>
      <c r="D4" t="s">
        <v>71</v>
      </c>
      <c r="E4" t="s">
        <v>72</v>
      </c>
      <c r="F4">
        <v>17</v>
      </c>
      <c r="G4" t="s">
        <v>73</v>
      </c>
      <c r="H4" t="s">
        <v>74</v>
      </c>
      <c r="I4" t="s">
        <v>39</v>
      </c>
      <c r="K4">
        <v>10</v>
      </c>
      <c r="L4" t="b">
        <v>0</v>
      </c>
      <c r="M4" t="s">
        <v>46</v>
      </c>
      <c r="N4" t="s">
        <v>53</v>
      </c>
    </row>
    <row r="5" spans="1:14" x14ac:dyDescent="0.3">
      <c r="A5" t="s">
        <v>75</v>
      </c>
      <c r="B5" s="11">
        <v>45164</v>
      </c>
      <c r="C5" s="12">
        <v>0.35416666666666669</v>
      </c>
      <c r="D5" t="s">
        <v>76</v>
      </c>
      <c r="E5" t="s">
        <v>72</v>
      </c>
      <c r="F5">
        <v>21</v>
      </c>
      <c r="G5" t="s">
        <v>77</v>
      </c>
      <c r="H5" t="s">
        <v>74</v>
      </c>
      <c r="I5" t="s">
        <v>38</v>
      </c>
      <c r="K5">
        <v>10</v>
      </c>
      <c r="L5" t="b">
        <v>1</v>
      </c>
      <c r="M5" t="s">
        <v>47</v>
      </c>
      <c r="N5" t="s">
        <v>53</v>
      </c>
    </row>
    <row r="6" spans="1:14" x14ac:dyDescent="0.3">
      <c r="A6" t="s">
        <v>78</v>
      </c>
      <c r="B6" s="11">
        <v>45149</v>
      </c>
      <c r="C6" s="12">
        <v>6.3888888888888884E-2</v>
      </c>
      <c r="D6" t="s">
        <v>79</v>
      </c>
      <c r="E6" t="s">
        <v>72</v>
      </c>
      <c r="F6">
        <v>27</v>
      </c>
      <c r="G6" t="s">
        <v>80</v>
      </c>
      <c r="H6" t="s">
        <v>74</v>
      </c>
      <c r="I6" t="s">
        <v>38</v>
      </c>
      <c r="K6">
        <v>10</v>
      </c>
      <c r="L6" t="b">
        <v>1</v>
      </c>
      <c r="M6" t="s">
        <v>47</v>
      </c>
      <c r="N6" t="s">
        <v>53</v>
      </c>
    </row>
    <row r="7" spans="1:14" x14ac:dyDescent="0.3">
      <c r="A7" t="s">
        <v>81</v>
      </c>
      <c r="B7" s="11">
        <v>45522</v>
      </c>
      <c r="C7" s="12">
        <v>0.11041666666666666</v>
      </c>
      <c r="D7" t="s">
        <v>82</v>
      </c>
      <c r="E7" t="s">
        <v>83</v>
      </c>
      <c r="F7">
        <v>57</v>
      </c>
      <c r="G7" t="s">
        <v>84</v>
      </c>
      <c r="H7" t="s">
        <v>74</v>
      </c>
      <c r="I7" t="s">
        <v>38</v>
      </c>
      <c r="K7">
        <v>10</v>
      </c>
      <c r="L7" t="b">
        <v>1</v>
      </c>
      <c r="M7" t="s">
        <v>50</v>
      </c>
      <c r="N7" t="s">
        <v>53</v>
      </c>
    </row>
    <row r="8" spans="1:14" x14ac:dyDescent="0.3">
      <c r="A8" t="s">
        <v>85</v>
      </c>
      <c r="B8" s="11">
        <v>45160</v>
      </c>
      <c r="C8" s="12">
        <v>0.16180555555555556</v>
      </c>
      <c r="D8" t="s">
        <v>86</v>
      </c>
      <c r="E8" t="s">
        <v>72</v>
      </c>
      <c r="F8">
        <v>18</v>
      </c>
      <c r="G8" t="s">
        <v>84</v>
      </c>
      <c r="H8" t="s">
        <v>74</v>
      </c>
      <c r="I8" t="s">
        <v>39</v>
      </c>
      <c r="K8">
        <v>10</v>
      </c>
      <c r="L8" t="b">
        <v>0</v>
      </c>
      <c r="M8" t="s">
        <v>46</v>
      </c>
      <c r="N8" t="s">
        <v>53</v>
      </c>
    </row>
    <row r="9" spans="1:14" x14ac:dyDescent="0.3">
      <c r="A9" t="s">
        <v>87</v>
      </c>
      <c r="B9" s="11">
        <v>45522</v>
      </c>
      <c r="C9" s="12">
        <v>0.31597222222222221</v>
      </c>
      <c r="D9" t="s">
        <v>88</v>
      </c>
      <c r="E9" t="s">
        <v>83</v>
      </c>
      <c r="F9">
        <v>45</v>
      </c>
      <c r="G9" t="s">
        <v>89</v>
      </c>
      <c r="H9" t="s">
        <v>74</v>
      </c>
      <c r="I9" t="s">
        <v>39</v>
      </c>
      <c r="K9">
        <v>10</v>
      </c>
      <c r="L9" t="b">
        <v>0</v>
      </c>
      <c r="M9" t="s">
        <v>49</v>
      </c>
      <c r="N9" t="s">
        <v>53</v>
      </c>
    </row>
    <row r="10" spans="1:14" x14ac:dyDescent="0.3">
      <c r="A10" t="s">
        <v>90</v>
      </c>
      <c r="B10" s="11">
        <v>45511</v>
      </c>
      <c r="C10" s="12">
        <v>0.47013888888888888</v>
      </c>
      <c r="D10" t="s">
        <v>91</v>
      </c>
      <c r="E10" t="s">
        <v>83</v>
      </c>
      <c r="F10">
        <v>14</v>
      </c>
      <c r="G10" t="s">
        <v>89</v>
      </c>
      <c r="H10" t="s">
        <v>92</v>
      </c>
      <c r="I10" t="s">
        <v>39</v>
      </c>
      <c r="K10">
        <v>10</v>
      </c>
      <c r="L10" t="b">
        <v>0</v>
      </c>
      <c r="M10" t="s">
        <v>46</v>
      </c>
      <c r="N10" t="s">
        <v>53</v>
      </c>
    </row>
    <row r="11" spans="1:14" x14ac:dyDescent="0.3">
      <c r="A11" t="s">
        <v>93</v>
      </c>
      <c r="B11" s="11">
        <v>45505</v>
      </c>
      <c r="C11" s="12">
        <v>0.34930555555555554</v>
      </c>
      <c r="D11" t="s">
        <v>94</v>
      </c>
      <c r="E11" t="s">
        <v>83</v>
      </c>
      <c r="F11">
        <v>24</v>
      </c>
      <c r="G11" t="s">
        <v>95</v>
      </c>
      <c r="H11" t="s">
        <v>92</v>
      </c>
      <c r="I11" t="s">
        <v>39</v>
      </c>
      <c r="K11">
        <v>10</v>
      </c>
      <c r="L11" t="b">
        <v>0</v>
      </c>
      <c r="M11" t="s">
        <v>47</v>
      </c>
      <c r="N11" t="s">
        <v>53</v>
      </c>
    </row>
    <row r="12" spans="1:14" x14ac:dyDescent="0.3">
      <c r="A12" t="s">
        <v>96</v>
      </c>
      <c r="B12" s="11">
        <v>45147</v>
      </c>
      <c r="C12" s="12">
        <v>0.37152777777777779</v>
      </c>
      <c r="D12" t="s">
        <v>97</v>
      </c>
      <c r="E12" t="s">
        <v>72</v>
      </c>
      <c r="F12">
        <v>62</v>
      </c>
      <c r="G12" t="s">
        <v>80</v>
      </c>
      <c r="H12" t="s">
        <v>92</v>
      </c>
      <c r="I12" t="s">
        <v>39</v>
      </c>
      <c r="K12">
        <v>10</v>
      </c>
      <c r="L12" t="b">
        <v>0</v>
      </c>
      <c r="M12" t="s">
        <v>51</v>
      </c>
      <c r="N12" t="s">
        <v>53</v>
      </c>
    </row>
    <row r="13" spans="1:14" x14ac:dyDescent="0.3">
      <c r="A13" t="s">
        <v>98</v>
      </c>
      <c r="B13" s="11">
        <v>45517</v>
      </c>
      <c r="C13" s="12">
        <v>0.23055555555555557</v>
      </c>
      <c r="D13" t="s">
        <v>99</v>
      </c>
      <c r="E13" t="s">
        <v>83</v>
      </c>
      <c r="F13">
        <v>78</v>
      </c>
      <c r="G13" t="s">
        <v>77</v>
      </c>
      <c r="H13" t="s">
        <v>92</v>
      </c>
      <c r="I13" t="s">
        <v>38</v>
      </c>
      <c r="K13">
        <v>10</v>
      </c>
      <c r="L13" t="b">
        <v>1</v>
      </c>
      <c r="M13" t="s">
        <v>52</v>
      </c>
      <c r="N13" t="s">
        <v>53</v>
      </c>
    </row>
    <row r="14" spans="1:14" x14ac:dyDescent="0.3">
      <c r="A14" t="s">
        <v>100</v>
      </c>
      <c r="B14" s="11">
        <v>45156</v>
      </c>
      <c r="C14" s="12">
        <v>0.74583333333333335</v>
      </c>
      <c r="D14" t="s">
        <v>101</v>
      </c>
      <c r="E14" t="s">
        <v>72</v>
      </c>
      <c r="F14">
        <v>23</v>
      </c>
      <c r="G14" t="s">
        <v>80</v>
      </c>
      <c r="H14" t="s">
        <v>102</v>
      </c>
      <c r="I14" t="s">
        <v>39</v>
      </c>
      <c r="K14">
        <v>10</v>
      </c>
      <c r="L14" t="b">
        <v>0</v>
      </c>
      <c r="M14" t="s">
        <v>47</v>
      </c>
      <c r="N14" t="s">
        <v>53</v>
      </c>
    </row>
    <row r="15" spans="1:14" x14ac:dyDescent="0.3">
      <c r="A15" t="s">
        <v>103</v>
      </c>
      <c r="B15" s="11">
        <v>45519</v>
      </c>
      <c r="C15" s="12">
        <v>0.74305555555555558</v>
      </c>
      <c r="D15" t="s">
        <v>104</v>
      </c>
      <c r="E15" t="s">
        <v>83</v>
      </c>
      <c r="F15">
        <v>28</v>
      </c>
      <c r="G15" t="s">
        <v>95</v>
      </c>
      <c r="H15" t="s">
        <v>102</v>
      </c>
      <c r="I15" t="s">
        <v>39</v>
      </c>
      <c r="K15">
        <v>10</v>
      </c>
      <c r="L15" t="b">
        <v>0</v>
      </c>
      <c r="M15" t="s">
        <v>47</v>
      </c>
      <c r="N15" t="s">
        <v>53</v>
      </c>
    </row>
    <row r="16" spans="1:14" x14ac:dyDescent="0.3">
      <c r="A16" t="s">
        <v>105</v>
      </c>
      <c r="B16" s="11">
        <v>45163</v>
      </c>
      <c r="C16" s="12">
        <v>0.5541666666666667</v>
      </c>
      <c r="D16" t="s">
        <v>106</v>
      </c>
      <c r="E16" t="s">
        <v>72</v>
      </c>
      <c r="F16">
        <v>6</v>
      </c>
      <c r="G16" t="s">
        <v>95</v>
      </c>
      <c r="H16" t="s">
        <v>102</v>
      </c>
      <c r="I16" t="s">
        <v>38</v>
      </c>
      <c r="K16">
        <v>10</v>
      </c>
      <c r="L16" t="b">
        <v>1</v>
      </c>
      <c r="M16" t="s">
        <v>45</v>
      </c>
      <c r="N16" t="s">
        <v>53</v>
      </c>
    </row>
    <row r="17" spans="1:14" x14ac:dyDescent="0.3">
      <c r="A17" t="s">
        <v>107</v>
      </c>
      <c r="B17" s="11">
        <v>45157</v>
      </c>
      <c r="C17" s="12">
        <v>0.46319444444444446</v>
      </c>
      <c r="D17" t="s">
        <v>108</v>
      </c>
      <c r="E17" t="s">
        <v>83</v>
      </c>
      <c r="F17">
        <v>14</v>
      </c>
      <c r="G17" t="s">
        <v>84</v>
      </c>
      <c r="H17" t="s">
        <v>109</v>
      </c>
      <c r="I17" t="s">
        <v>39</v>
      </c>
      <c r="K17">
        <v>10</v>
      </c>
      <c r="L17" t="b">
        <v>0</v>
      </c>
      <c r="M17" t="s">
        <v>46</v>
      </c>
      <c r="N17" t="s">
        <v>53</v>
      </c>
    </row>
    <row r="18" spans="1:14" x14ac:dyDescent="0.3">
      <c r="A18" t="s">
        <v>110</v>
      </c>
      <c r="B18" s="11">
        <v>45143</v>
      </c>
      <c r="C18" s="12">
        <v>0.4236111111111111</v>
      </c>
      <c r="D18" t="s">
        <v>111</v>
      </c>
      <c r="E18" t="s">
        <v>72</v>
      </c>
      <c r="F18">
        <v>37</v>
      </c>
      <c r="G18" t="s">
        <v>80</v>
      </c>
      <c r="H18" t="s">
        <v>92</v>
      </c>
      <c r="I18" t="s">
        <v>39</v>
      </c>
      <c r="J18">
        <v>5</v>
      </c>
      <c r="K18">
        <v>10</v>
      </c>
      <c r="L18" t="b">
        <v>0</v>
      </c>
      <c r="M18" t="s">
        <v>48</v>
      </c>
      <c r="N18" t="s">
        <v>53</v>
      </c>
    </row>
    <row r="19" spans="1:14" x14ac:dyDescent="0.3">
      <c r="A19" t="s">
        <v>112</v>
      </c>
      <c r="B19" s="11">
        <v>45160</v>
      </c>
      <c r="C19" s="12">
        <v>0.30555555555555558</v>
      </c>
      <c r="D19" t="s">
        <v>113</v>
      </c>
      <c r="E19" t="s">
        <v>72</v>
      </c>
      <c r="F19">
        <v>22</v>
      </c>
      <c r="G19" t="s">
        <v>77</v>
      </c>
      <c r="H19" t="s">
        <v>92</v>
      </c>
      <c r="I19" t="s">
        <v>39</v>
      </c>
      <c r="J19">
        <v>7</v>
      </c>
      <c r="K19">
        <v>10</v>
      </c>
      <c r="L19" t="b">
        <v>0</v>
      </c>
      <c r="M19" t="s">
        <v>47</v>
      </c>
      <c r="N19" t="s">
        <v>53</v>
      </c>
    </row>
    <row r="20" spans="1:14" x14ac:dyDescent="0.3">
      <c r="A20" t="s">
        <v>114</v>
      </c>
      <c r="B20" s="11">
        <v>45530</v>
      </c>
      <c r="C20" s="12">
        <v>0.5756944444444444</v>
      </c>
      <c r="D20" t="s">
        <v>115</v>
      </c>
      <c r="E20" t="s">
        <v>72</v>
      </c>
      <c r="F20">
        <v>13</v>
      </c>
      <c r="G20" t="s">
        <v>77</v>
      </c>
      <c r="H20" t="s">
        <v>74</v>
      </c>
      <c r="I20" t="s">
        <v>38</v>
      </c>
      <c r="J20">
        <v>4</v>
      </c>
      <c r="K20">
        <v>10</v>
      </c>
      <c r="L20" t="b">
        <v>1</v>
      </c>
      <c r="M20" t="s">
        <v>46</v>
      </c>
      <c r="N20" t="s">
        <v>53</v>
      </c>
    </row>
    <row r="21" spans="1:14" x14ac:dyDescent="0.3">
      <c r="A21" t="s">
        <v>116</v>
      </c>
      <c r="B21" s="11">
        <v>45509</v>
      </c>
      <c r="C21" s="12">
        <v>0.25</v>
      </c>
      <c r="D21" t="s">
        <v>117</v>
      </c>
      <c r="E21" t="s">
        <v>83</v>
      </c>
      <c r="F21">
        <v>31</v>
      </c>
      <c r="G21" t="s">
        <v>73</v>
      </c>
      <c r="H21" t="s">
        <v>74</v>
      </c>
      <c r="I21" t="s">
        <v>38</v>
      </c>
      <c r="J21">
        <v>2</v>
      </c>
      <c r="K21">
        <v>10</v>
      </c>
      <c r="L21" t="b">
        <v>1</v>
      </c>
      <c r="M21" t="s">
        <v>48</v>
      </c>
      <c r="N21" t="s">
        <v>53</v>
      </c>
    </row>
    <row r="22" spans="1:14" x14ac:dyDescent="0.3">
      <c r="A22" t="s">
        <v>118</v>
      </c>
      <c r="B22" s="11">
        <v>45157</v>
      </c>
      <c r="C22" s="12">
        <v>0.76041666666666663</v>
      </c>
      <c r="D22" t="s">
        <v>119</v>
      </c>
      <c r="E22" t="s">
        <v>72</v>
      </c>
      <c r="F22">
        <v>9</v>
      </c>
      <c r="G22" t="s">
        <v>73</v>
      </c>
      <c r="H22" t="s">
        <v>74</v>
      </c>
      <c r="I22" t="s">
        <v>38</v>
      </c>
      <c r="J22">
        <v>10</v>
      </c>
      <c r="K22">
        <v>10</v>
      </c>
      <c r="L22" t="b">
        <v>1</v>
      </c>
      <c r="M22" t="s">
        <v>45</v>
      </c>
      <c r="N22"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29068-9463-4DF6-8F5E-95B3ECC86B39}">
  <dimension ref="A1:N23"/>
  <sheetViews>
    <sheetView workbookViewId="0"/>
  </sheetViews>
  <sheetFormatPr defaultRowHeight="14.4" x14ac:dyDescent="0.3"/>
  <cols>
    <col min="1" max="1" width="38.88671875" bestFit="1" customWidth="1"/>
    <col min="2" max="2" width="50.5546875" bestFit="1" customWidth="1"/>
    <col min="3" max="3" width="50.77734375" bestFit="1" customWidth="1"/>
    <col min="4" max="4" width="37"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51.88671875" bestFit="1" customWidth="1"/>
    <col min="13" max="13" width="39.33203125" bestFit="1" customWidth="1"/>
    <col min="14" max="14" width="48.44140625" bestFit="1" customWidth="1"/>
  </cols>
  <sheetData>
    <row r="1" spans="1:14" x14ac:dyDescent="0.3">
      <c r="A1" s="13" t="s">
        <v>168</v>
      </c>
    </row>
    <row r="3" spans="1:14" x14ac:dyDescent="0.3">
      <c r="A3" t="s">
        <v>56</v>
      </c>
      <c r="B3" t="s">
        <v>57</v>
      </c>
      <c r="C3" t="s">
        <v>58</v>
      </c>
      <c r="D3" t="s">
        <v>59</v>
      </c>
      <c r="E3" t="s">
        <v>60</v>
      </c>
      <c r="F3" t="s">
        <v>61</v>
      </c>
      <c r="G3" t="s">
        <v>62</v>
      </c>
      <c r="H3" t="s">
        <v>63</v>
      </c>
      <c r="I3" t="s">
        <v>64</v>
      </c>
      <c r="J3" t="s">
        <v>65</v>
      </c>
      <c r="K3" t="s">
        <v>66</v>
      </c>
      <c r="L3" t="s">
        <v>67</v>
      </c>
      <c r="M3" t="s">
        <v>68</v>
      </c>
      <c r="N3" t="s">
        <v>69</v>
      </c>
    </row>
    <row r="4" spans="1:14" x14ac:dyDescent="0.3">
      <c r="A4" t="s">
        <v>127</v>
      </c>
      <c r="B4" s="11">
        <v>45018</v>
      </c>
      <c r="C4" s="12">
        <v>0.21180555555555555</v>
      </c>
      <c r="D4" t="s">
        <v>128</v>
      </c>
      <c r="E4" t="s">
        <v>83</v>
      </c>
      <c r="F4">
        <v>38</v>
      </c>
      <c r="G4" t="s">
        <v>84</v>
      </c>
      <c r="H4" t="s">
        <v>124</v>
      </c>
      <c r="I4" t="s">
        <v>38</v>
      </c>
      <c r="K4">
        <v>14</v>
      </c>
      <c r="L4" t="b">
        <v>1</v>
      </c>
      <c r="M4" t="s">
        <v>48</v>
      </c>
      <c r="N4" t="s">
        <v>53</v>
      </c>
    </row>
    <row r="5" spans="1:14" x14ac:dyDescent="0.3">
      <c r="A5" t="s">
        <v>129</v>
      </c>
      <c r="B5" s="11">
        <v>45383</v>
      </c>
      <c r="C5" s="12">
        <v>0.93541666666666667</v>
      </c>
      <c r="D5" t="s">
        <v>130</v>
      </c>
      <c r="E5" t="s">
        <v>83</v>
      </c>
      <c r="F5">
        <v>4</v>
      </c>
      <c r="G5" t="s">
        <v>80</v>
      </c>
      <c r="H5" t="s">
        <v>124</v>
      </c>
      <c r="I5" t="s">
        <v>39</v>
      </c>
      <c r="K5">
        <v>30</v>
      </c>
      <c r="L5" t="b">
        <v>0</v>
      </c>
      <c r="M5" t="s">
        <v>45</v>
      </c>
      <c r="N5" t="s">
        <v>53</v>
      </c>
    </row>
    <row r="6" spans="1:14" x14ac:dyDescent="0.3">
      <c r="A6" t="s">
        <v>131</v>
      </c>
      <c r="B6" s="11">
        <v>45384</v>
      </c>
      <c r="C6" s="12">
        <v>0.99791666666666667</v>
      </c>
      <c r="D6" t="s">
        <v>132</v>
      </c>
      <c r="E6" t="s">
        <v>83</v>
      </c>
      <c r="F6">
        <v>16</v>
      </c>
      <c r="G6" t="s">
        <v>80</v>
      </c>
      <c r="H6" t="s">
        <v>124</v>
      </c>
      <c r="I6" t="s">
        <v>38</v>
      </c>
      <c r="K6">
        <v>54</v>
      </c>
      <c r="L6" t="b">
        <v>1</v>
      </c>
      <c r="M6" t="s">
        <v>46</v>
      </c>
      <c r="N6" t="s">
        <v>54</v>
      </c>
    </row>
    <row r="7" spans="1:14" x14ac:dyDescent="0.3">
      <c r="A7" t="s">
        <v>133</v>
      </c>
      <c r="B7" s="11">
        <v>45028</v>
      </c>
      <c r="C7" s="12">
        <v>0.65277777777777779</v>
      </c>
      <c r="D7" t="s">
        <v>134</v>
      </c>
      <c r="E7" t="s">
        <v>72</v>
      </c>
      <c r="F7">
        <v>56</v>
      </c>
      <c r="G7" t="s">
        <v>80</v>
      </c>
      <c r="H7" t="s">
        <v>124</v>
      </c>
      <c r="I7" t="s">
        <v>39</v>
      </c>
      <c r="K7">
        <v>58</v>
      </c>
      <c r="L7" t="b">
        <v>0</v>
      </c>
      <c r="M7" t="s">
        <v>50</v>
      </c>
      <c r="N7" t="s">
        <v>54</v>
      </c>
    </row>
    <row r="8" spans="1:14" x14ac:dyDescent="0.3">
      <c r="A8" t="s">
        <v>135</v>
      </c>
      <c r="B8" s="11">
        <v>45021</v>
      </c>
      <c r="C8" s="12">
        <v>0.23819444444444443</v>
      </c>
      <c r="D8" t="s">
        <v>136</v>
      </c>
      <c r="E8" t="s">
        <v>72</v>
      </c>
      <c r="F8">
        <v>23</v>
      </c>
      <c r="G8" t="s">
        <v>73</v>
      </c>
      <c r="H8" t="s">
        <v>124</v>
      </c>
      <c r="I8" t="s">
        <v>39</v>
      </c>
      <c r="K8">
        <v>34</v>
      </c>
      <c r="L8" t="b">
        <v>0</v>
      </c>
      <c r="M8" t="s">
        <v>47</v>
      </c>
      <c r="N8" t="s">
        <v>54</v>
      </c>
    </row>
    <row r="9" spans="1:14" x14ac:dyDescent="0.3">
      <c r="A9" t="s">
        <v>137</v>
      </c>
      <c r="B9" s="11">
        <v>45385</v>
      </c>
      <c r="C9" s="12">
        <v>0.43263888888888891</v>
      </c>
      <c r="D9" t="s">
        <v>138</v>
      </c>
      <c r="E9" t="s">
        <v>83</v>
      </c>
      <c r="F9">
        <v>49</v>
      </c>
      <c r="G9" t="s">
        <v>77</v>
      </c>
      <c r="H9" t="s">
        <v>124</v>
      </c>
      <c r="I9" t="s">
        <v>39</v>
      </c>
      <c r="K9">
        <v>47</v>
      </c>
      <c r="L9" t="b">
        <v>0</v>
      </c>
      <c r="M9" t="s">
        <v>49</v>
      </c>
      <c r="N9" t="s">
        <v>54</v>
      </c>
    </row>
    <row r="10" spans="1:14" x14ac:dyDescent="0.3">
      <c r="A10" t="s">
        <v>139</v>
      </c>
      <c r="B10" s="11">
        <v>45022</v>
      </c>
      <c r="C10" s="12">
        <v>8.3333333333333329E-2</v>
      </c>
      <c r="D10" t="s">
        <v>140</v>
      </c>
      <c r="E10" t="s">
        <v>83</v>
      </c>
      <c r="F10">
        <v>79</v>
      </c>
      <c r="G10" t="s">
        <v>73</v>
      </c>
      <c r="H10" t="s">
        <v>124</v>
      </c>
      <c r="I10" t="s">
        <v>39</v>
      </c>
      <c r="K10">
        <v>13</v>
      </c>
      <c r="L10" t="b">
        <v>0</v>
      </c>
      <c r="M10" t="s">
        <v>52</v>
      </c>
      <c r="N10" t="s">
        <v>53</v>
      </c>
    </row>
    <row r="11" spans="1:14" x14ac:dyDescent="0.3">
      <c r="A11" t="s">
        <v>141</v>
      </c>
      <c r="B11" s="11">
        <v>45042</v>
      </c>
      <c r="C11" s="12">
        <v>0.85763888888888884</v>
      </c>
      <c r="D11" t="s">
        <v>142</v>
      </c>
      <c r="E11" t="s">
        <v>72</v>
      </c>
      <c r="F11">
        <v>9</v>
      </c>
      <c r="G11" t="s">
        <v>77</v>
      </c>
      <c r="H11" t="s">
        <v>124</v>
      </c>
      <c r="I11" t="s">
        <v>38</v>
      </c>
      <c r="K11">
        <v>56</v>
      </c>
      <c r="L11" t="b">
        <v>1</v>
      </c>
      <c r="M11" t="s">
        <v>45</v>
      </c>
      <c r="N11" t="s">
        <v>54</v>
      </c>
    </row>
    <row r="12" spans="1:14" x14ac:dyDescent="0.3">
      <c r="A12" t="s">
        <v>143</v>
      </c>
      <c r="B12" s="11">
        <v>45033</v>
      </c>
      <c r="C12" s="12">
        <v>0.69652777777777775</v>
      </c>
      <c r="D12" t="s">
        <v>144</v>
      </c>
      <c r="E12" t="s">
        <v>72</v>
      </c>
      <c r="F12">
        <v>54</v>
      </c>
      <c r="G12" t="s">
        <v>145</v>
      </c>
      <c r="H12" t="s">
        <v>124</v>
      </c>
      <c r="I12" t="s">
        <v>38</v>
      </c>
      <c r="K12">
        <v>49</v>
      </c>
      <c r="L12" t="b">
        <v>1</v>
      </c>
      <c r="M12" t="s">
        <v>50</v>
      </c>
      <c r="N12" t="s">
        <v>54</v>
      </c>
    </row>
    <row r="13" spans="1:14" x14ac:dyDescent="0.3">
      <c r="A13" t="s">
        <v>146</v>
      </c>
      <c r="B13" s="11">
        <v>45386</v>
      </c>
      <c r="C13" s="12">
        <v>9.7222222222222224E-2</v>
      </c>
      <c r="D13" t="s">
        <v>147</v>
      </c>
      <c r="E13" t="s">
        <v>72</v>
      </c>
      <c r="F13">
        <v>46</v>
      </c>
      <c r="G13" t="s">
        <v>80</v>
      </c>
      <c r="H13" t="s">
        <v>124</v>
      </c>
      <c r="I13" t="s">
        <v>38</v>
      </c>
      <c r="K13">
        <v>22</v>
      </c>
      <c r="L13" t="b">
        <v>1</v>
      </c>
      <c r="M13" t="s">
        <v>49</v>
      </c>
      <c r="N13" t="s">
        <v>53</v>
      </c>
    </row>
    <row r="14" spans="1:14" x14ac:dyDescent="0.3">
      <c r="A14" t="s">
        <v>148</v>
      </c>
      <c r="B14" s="11">
        <v>45028</v>
      </c>
      <c r="C14" s="12">
        <v>0.53680555555555554</v>
      </c>
      <c r="D14" t="s">
        <v>149</v>
      </c>
      <c r="E14" t="s">
        <v>72</v>
      </c>
      <c r="F14">
        <v>53</v>
      </c>
      <c r="G14" t="s">
        <v>73</v>
      </c>
      <c r="H14" t="s">
        <v>124</v>
      </c>
      <c r="I14" t="s">
        <v>38</v>
      </c>
      <c r="K14">
        <v>13</v>
      </c>
      <c r="L14" t="b">
        <v>1</v>
      </c>
      <c r="M14" t="s">
        <v>50</v>
      </c>
      <c r="N14" t="s">
        <v>53</v>
      </c>
    </row>
    <row r="15" spans="1:14" x14ac:dyDescent="0.3">
      <c r="A15" t="s">
        <v>150</v>
      </c>
      <c r="B15" s="11">
        <v>45018</v>
      </c>
      <c r="C15" s="12">
        <v>0.22361111111111112</v>
      </c>
      <c r="D15" t="s">
        <v>151</v>
      </c>
      <c r="E15" t="s">
        <v>83</v>
      </c>
      <c r="F15">
        <v>38</v>
      </c>
      <c r="G15" t="s">
        <v>145</v>
      </c>
      <c r="H15" t="s">
        <v>124</v>
      </c>
      <c r="I15" t="s">
        <v>38</v>
      </c>
      <c r="K15">
        <v>36</v>
      </c>
      <c r="L15" t="b">
        <v>1</v>
      </c>
      <c r="M15" t="s">
        <v>48</v>
      </c>
      <c r="N15" t="s">
        <v>54</v>
      </c>
    </row>
    <row r="16" spans="1:14" x14ac:dyDescent="0.3">
      <c r="A16" t="s">
        <v>152</v>
      </c>
      <c r="B16" s="11">
        <v>45388</v>
      </c>
      <c r="C16" s="12">
        <v>0.5</v>
      </c>
      <c r="D16" t="s">
        <v>153</v>
      </c>
      <c r="E16" t="s">
        <v>72</v>
      </c>
      <c r="F16">
        <v>4</v>
      </c>
      <c r="G16" t="s">
        <v>77</v>
      </c>
      <c r="H16" t="s">
        <v>124</v>
      </c>
      <c r="I16" t="s">
        <v>39</v>
      </c>
      <c r="J16">
        <v>6</v>
      </c>
      <c r="K16">
        <v>47</v>
      </c>
      <c r="L16" t="b">
        <v>0</v>
      </c>
      <c r="M16" t="s">
        <v>45</v>
      </c>
      <c r="N16" t="s">
        <v>54</v>
      </c>
    </row>
    <row r="17" spans="1:14" x14ac:dyDescent="0.3">
      <c r="A17" t="s">
        <v>154</v>
      </c>
      <c r="B17" s="11">
        <v>45384</v>
      </c>
      <c r="C17" s="12">
        <v>0.21180555555555555</v>
      </c>
      <c r="D17" t="s">
        <v>155</v>
      </c>
      <c r="E17" t="s">
        <v>72</v>
      </c>
      <c r="F17">
        <v>74</v>
      </c>
      <c r="G17" t="s">
        <v>95</v>
      </c>
      <c r="H17" t="s">
        <v>124</v>
      </c>
      <c r="I17" t="s">
        <v>38</v>
      </c>
      <c r="J17">
        <v>8</v>
      </c>
      <c r="K17">
        <v>39</v>
      </c>
      <c r="L17" t="b">
        <v>1</v>
      </c>
      <c r="M17" t="s">
        <v>52</v>
      </c>
      <c r="N17" t="s">
        <v>54</v>
      </c>
    </row>
    <row r="18" spans="1:14" x14ac:dyDescent="0.3">
      <c r="A18" t="s">
        <v>156</v>
      </c>
      <c r="B18" s="11">
        <v>45022</v>
      </c>
      <c r="C18" s="12">
        <v>6.5972222222222224E-2</v>
      </c>
      <c r="D18" t="s">
        <v>157</v>
      </c>
      <c r="E18" t="s">
        <v>72</v>
      </c>
      <c r="F18">
        <v>35</v>
      </c>
      <c r="G18" t="s">
        <v>77</v>
      </c>
      <c r="H18" t="s">
        <v>124</v>
      </c>
      <c r="I18" t="s">
        <v>39</v>
      </c>
      <c r="J18">
        <v>4</v>
      </c>
      <c r="K18">
        <v>27</v>
      </c>
      <c r="L18" t="b">
        <v>0</v>
      </c>
      <c r="M18" t="s">
        <v>48</v>
      </c>
      <c r="N18" t="s">
        <v>53</v>
      </c>
    </row>
    <row r="19" spans="1:14" x14ac:dyDescent="0.3">
      <c r="A19" t="s">
        <v>158</v>
      </c>
      <c r="B19" s="11">
        <v>45031</v>
      </c>
      <c r="C19" s="12">
        <v>0.8979166666666667</v>
      </c>
      <c r="D19" t="s">
        <v>159</v>
      </c>
      <c r="E19" t="s">
        <v>72</v>
      </c>
      <c r="F19">
        <v>35</v>
      </c>
      <c r="G19" t="s">
        <v>89</v>
      </c>
      <c r="H19" t="s">
        <v>124</v>
      </c>
      <c r="I19" t="s">
        <v>38</v>
      </c>
      <c r="J19">
        <v>1</v>
      </c>
      <c r="K19">
        <v>52</v>
      </c>
      <c r="L19" t="b">
        <v>1</v>
      </c>
      <c r="M19" t="s">
        <v>48</v>
      </c>
      <c r="N19" t="s">
        <v>54</v>
      </c>
    </row>
    <row r="20" spans="1:14" x14ac:dyDescent="0.3">
      <c r="A20" t="s">
        <v>160</v>
      </c>
      <c r="B20" s="11">
        <v>45027</v>
      </c>
      <c r="C20" s="12">
        <v>0.87916666666666665</v>
      </c>
      <c r="D20" t="s">
        <v>161</v>
      </c>
      <c r="E20" t="s">
        <v>72</v>
      </c>
      <c r="F20">
        <v>1</v>
      </c>
      <c r="G20" t="s">
        <v>80</v>
      </c>
      <c r="H20" t="s">
        <v>124</v>
      </c>
      <c r="I20" t="s">
        <v>38</v>
      </c>
      <c r="J20">
        <v>6</v>
      </c>
      <c r="K20">
        <v>21</v>
      </c>
      <c r="L20" t="b">
        <v>1</v>
      </c>
      <c r="M20" t="s">
        <v>45</v>
      </c>
      <c r="N20" t="s">
        <v>53</v>
      </c>
    </row>
    <row r="21" spans="1:14" x14ac:dyDescent="0.3">
      <c r="A21" t="s">
        <v>162</v>
      </c>
      <c r="B21" s="11">
        <v>45398</v>
      </c>
      <c r="C21" s="12">
        <v>0.21597222222222223</v>
      </c>
      <c r="D21" t="s">
        <v>163</v>
      </c>
      <c r="E21" t="s">
        <v>83</v>
      </c>
      <c r="F21">
        <v>13</v>
      </c>
      <c r="G21" t="s">
        <v>73</v>
      </c>
      <c r="H21" t="s">
        <v>124</v>
      </c>
      <c r="I21" t="s">
        <v>39</v>
      </c>
      <c r="J21">
        <v>8</v>
      </c>
      <c r="K21">
        <v>33</v>
      </c>
      <c r="L21" t="b">
        <v>0</v>
      </c>
      <c r="M21" t="s">
        <v>46</v>
      </c>
      <c r="N21" t="s">
        <v>54</v>
      </c>
    </row>
    <row r="22" spans="1:14" x14ac:dyDescent="0.3">
      <c r="A22" t="s">
        <v>164</v>
      </c>
      <c r="B22" s="11">
        <v>45405</v>
      </c>
      <c r="C22" s="12">
        <v>0.3263888888888889</v>
      </c>
      <c r="D22" t="s">
        <v>165</v>
      </c>
      <c r="E22" t="s">
        <v>72</v>
      </c>
      <c r="F22">
        <v>24</v>
      </c>
      <c r="G22" t="s">
        <v>73</v>
      </c>
      <c r="H22" t="s">
        <v>124</v>
      </c>
      <c r="I22" t="s">
        <v>38</v>
      </c>
      <c r="J22">
        <v>5</v>
      </c>
      <c r="K22">
        <v>48</v>
      </c>
      <c r="L22" t="b">
        <v>1</v>
      </c>
      <c r="M22" t="s">
        <v>47</v>
      </c>
      <c r="N22" t="s">
        <v>54</v>
      </c>
    </row>
    <row r="23" spans="1:14" x14ac:dyDescent="0.3">
      <c r="A23" t="s">
        <v>166</v>
      </c>
      <c r="B23" s="11">
        <v>45025</v>
      </c>
      <c r="C23" s="12">
        <v>0.13263888888888889</v>
      </c>
      <c r="D23" t="s">
        <v>167</v>
      </c>
      <c r="E23" t="s">
        <v>72</v>
      </c>
      <c r="F23">
        <v>7</v>
      </c>
      <c r="G23" t="s">
        <v>73</v>
      </c>
      <c r="H23" t="s">
        <v>124</v>
      </c>
      <c r="I23" t="s">
        <v>38</v>
      </c>
      <c r="J23">
        <v>7</v>
      </c>
      <c r="K23">
        <v>18</v>
      </c>
      <c r="L23" t="b">
        <v>1</v>
      </c>
      <c r="M23" t="s">
        <v>45</v>
      </c>
      <c r="N23"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C1A2-E224-4140-9BD5-1ACEB4777A47}">
  <dimension ref="A1:P165"/>
  <sheetViews>
    <sheetView topLeftCell="I51" zoomScale="115" zoomScaleNormal="115" workbookViewId="0">
      <selection activeCell="O65" sqref="O65:P74"/>
    </sheetView>
  </sheetViews>
  <sheetFormatPr defaultRowHeight="14.4" x14ac:dyDescent="0.3"/>
  <cols>
    <col min="1" max="1" width="15.6640625" customWidth="1"/>
    <col min="2" max="2" width="12.33203125" customWidth="1"/>
    <col min="3" max="3" width="10.21875" customWidth="1"/>
    <col min="4" max="4" width="20.6640625" customWidth="1"/>
    <col min="5" max="5" width="8.88671875" style="6"/>
    <col min="6" max="6" width="23.33203125" bestFit="1" customWidth="1"/>
    <col min="7" max="7" width="23.88671875" bestFit="1" customWidth="1"/>
    <col min="8" max="8" width="17.21875" bestFit="1" customWidth="1"/>
    <col min="11" max="11" width="12.44140625" bestFit="1" customWidth="1"/>
  </cols>
  <sheetData>
    <row r="1" spans="1:12" x14ac:dyDescent="0.3">
      <c r="E1"/>
    </row>
    <row r="2" spans="1:12" x14ac:dyDescent="0.3">
      <c r="E2"/>
    </row>
    <row r="3" spans="1:12" x14ac:dyDescent="0.3">
      <c r="E3"/>
    </row>
    <row r="4" spans="1:12" x14ac:dyDescent="0.3">
      <c r="E4"/>
    </row>
    <row r="5" spans="1:12" x14ac:dyDescent="0.3">
      <c r="E5"/>
    </row>
    <row r="6" spans="1:12" x14ac:dyDescent="0.3">
      <c r="E6"/>
    </row>
    <row r="7" spans="1:12" x14ac:dyDescent="0.3">
      <c r="A7" t="s">
        <v>0</v>
      </c>
      <c r="E7"/>
    </row>
    <row r="8" spans="1:12" x14ac:dyDescent="0.3">
      <c r="A8" s="1">
        <v>464</v>
      </c>
      <c r="E8"/>
    </row>
    <row r="9" spans="1:12" x14ac:dyDescent="0.3">
      <c r="E9"/>
      <c r="F9" s="2" t="s">
        <v>3</v>
      </c>
      <c r="G9" t="s">
        <v>0</v>
      </c>
      <c r="K9" s="2" t="s">
        <v>3</v>
      </c>
      <c r="L9" t="s">
        <v>1</v>
      </c>
    </row>
    <row r="10" spans="1:12" x14ac:dyDescent="0.3">
      <c r="E10"/>
      <c r="F10" s="5" t="s">
        <v>6</v>
      </c>
      <c r="G10" s="1">
        <v>15</v>
      </c>
      <c r="K10" s="5" t="s">
        <v>6</v>
      </c>
      <c r="L10" s="3">
        <v>38.200000000000003</v>
      </c>
    </row>
    <row r="11" spans="1:12" x14ac:dyDescent="0.3">
      <c r="E11"/>
      <c r="F11" s="5" t="s">
        <v>7</v>
      </c>
      <c r="G11" s="1">
        <v>9</v>
      </c>
      <c r="K11" s="5" t="s">
        <v>7</v>
      </c>
      <c r="L11" s="3">
        <v>32.444444444444443</v>
      </c>
    </row>
    <row r="12" spans="1:12" x14ac:dyDescent="0.3">
      <c r="E12"/>
      <c r="F12" s="5" t="s">
        <v>8</v>
      </c>
      <c r="G12" s="1">
        <v>16</v>
      </c>
      <c r="K12" s="5" t="s">
        <v>8</v>
      </c>
      <c r="L12" s="3">
        <v>37.875</v>
      </c>
    </row>
    <row r="13" spans="1:12" x14ac:dyDescent="0.3">
      <c r="E13"/>
      <c r="F13" s="5" t="s">
        <v>9</v>
      </c>
      <c r="G13" s="1">
        <v>16</v>
      </c>
      <c r="K13" s="5" t="s">
        <v>9</v>
      </c>
      <c r="L13" s="3">
        <v>34.125</v>
      </c>
    </row>
    <row r="14" spans="1:12" x14ac:dyDescent="0.3">
      <c r="E14"/>
      <c r="F14" s="5" t="s">
        <v>10</v>
      </c>
      <c r="G14" s="1">
        <v>8</v>
      </c>
      <c r="K14" s="5" t="s">
        <v>10</v>
      </c>
      <c r="L14" s="3">
        <v>24.5</v>
      </c>
    </row>
    <row r="15" spans="1:12" x14ac:dyDescent="0.3">
      <c r="E15"/>
      <c r="F15" s="5" t="s">
        <v>11</v>
      </c>
      <c r="G15" s="1">
        <v>12</v>
      </c>
      <c r="K15" s="5" t="s">
        <v>11</v>
      </c>
      <c r="L15" s="3">
        <v>34.666666666666664</v>
      </c>
    </row>
    <row r="16" spans="1:12" x14ac:dyDescent="0.3">
      <c r="E16"/>
      <c r="F16" s="5" t="s">
        <v>12</v>
      </c>
      <c r="G16" s="1">
        <v>15</v>
      </c>
      <c r="K16" s="5" t="s">
        <v>12</v>
      </c>
      <c r="L16" s="3">
        <v>38.333333333333336</v>
      </c>
    </row>
    <row r="17" spans="1:16" x14ac:dyDescent="0.3">
      <c r="E17"/>
      <c r="F17" s="5" t="s">
        <v>13</v>
      </c>
      <c r="G17" s="1">
        <v>12</v>
      </c>
      <c r="K17" s="5" t="s">
        <v>13</v>
      </c>
      <c r="L17" s="3">
        <v>43.833333333333336</v>
      </c>
    </row>
    <row r="18" spans="1:16" x14ac:dyDescent="0.3">
      <c r="E18"/>
      <c r="F18" s="5" t="s">
        <v>14</v>
      </c>
      <c r="G18" s="1">
        <v>16</v>
      </c>
      <c r="K18" s="5" t="s">
        <v>14</v>
      </c>
      <c r="L18" s="3">
        <v>30.9375</v>
      </c>
    </row>
    <row r="19" spans="1:16" x14ac:dyDescent="0.3">
      <c r="E19"/>
      <c r="F19" s="5" t="s">
        <v>15</v>
      </c>
      <c r="G19" s="1">
        <v>17</v>
      </c>
      <c r="K19" s="5" t="s">
        <v>15</v>
      </c>
      <c r="L19" s="3">
        <v>34.941176470588232</v>
      </c>
    </row>
    <row r="20" spans="1:16" x14ac:dyDescent="0.3">
      <c r="A20" t="s">
        <v>1</v>
      </c>
      <c r="E20"/>
      <c r="F20" s="5" t="s">
        <v>16</v>
      </c>
      <c r="G20" s="1">
        <v>17</v>
      </c>
      <c r="K20" s="5" t="s">
        <v>16</v>
      </c>
      <c r="L20" s="3">
        <v>30.294117647058822</v>
      </c>
    </row>
    <row r="21" spans="1:16" x14ac:dyDescent="0.3">
      <c r="A21" s="3">
        <v>34.719827586206897</v>
      </c>
      <c r="E21"/>
      <c r="F21" s="5" t="s">
        <v>17</v>
      </c>
      <c r="G21" s="1">
        <v>14</v>
      </c>
      <c r="K21" s="5" t="s">
        <v>17</v>
      </c>
      <c r="L21" s="3">
        <v>32.428571428571431</v>
      </c>
    </row>
    <row r="22" spans="1:16" x14ac:dyDescent="0.3">
      <c r="E22"/>
      <c r="F22" s="5" t="s">
        <v>18</v>
      </c>
      <c r="G22" s="1">
        <v>20</v>
      </c>
      <c r="K22" s="5" t="s">
        <v>18</v>
      </c>
      <c r="L22" s="3">
        <v>31.1</v>
      </c>
    </row>
    <row r="23" spans="1:16" x14ac:dyDescent="0.3">
      <c r="E23"/>
      <c r="F23" s="5" t="s">
        <v>19</v>
      </c>
      <c r="G23" s="1">
        <v>15</v>
      </c>
      <c r="K23" s="5" t="s">
        <v>19</v>
      </c>
      <c r="L23" s="3">
        <v>34.333333333333336</v>
      </c>
    </row>
    <row r="24" spans="1:16" x14ac:dyDescent="0.3">
      <c r="E24"/>
      <c r="F24" s="5" t="s">
        <v>20</v>
      </c>
      <c r="G24" s="1">
        <v>15</v>
      </c>
      <c r="K24" s="5" t="s">
        <v>20</v>
      </c>
      <c r="L24" s="3">
        <v>28.6</v>
      </c>
    </row>
    <row r="25" spans="1:16" x14ac:dyDescent="0.3">
      <c r="E25"/>
      <c r="F25" s="5" t="s">
        <v>21</v>
      </c>
      <c r="G25" s="1">
        <v>14</v>
      </c>
      <c r="K25" s="5" t="s">
        <v>21</v>
      </c>
      <c r="L25" s="3">
        <v>32</v>
      </c>
    </row>
    <row r="26" spans="1:16" x14ac:dyDescent="0.3">
      <c r="A26" t="s">
        <v>2</v>
      </c>
      <c r="E26"/>
      <c r="F26" s="5" t="s">
        <v>22</v>
      </c>
      <c r="G26" s="1">
        <v>16</v>
      </c>
      <c r="K26" s="5" t="s">
        <v>22</v>
      </c>
      <c r="L26" s="3">
        <v>37.625</v>
      </c>
    </row>
    <row r="27" spans="1:16" x14ac:dyDescent="0.3">
      <c r="A27" s="3">
        <v>4.9913043478260866</v>
      </c>
      <c r="E27"/>
      <c r="F27" s="5" t="s">
        <v>23</v>
      </c>
      <c r="G27" s="1">
        <v>14</v>
      </c>
      <c r="K27" s="5" t="s">
        <v>23</v>
      </c>
      <c r="L27" s="3">
        <v>37.785714285714285</v>
      </c>
      <c r="O27" s="2" t="s">
        <v>3</v>
      </c>
      <c r="P27" t="s">
        <v>2</v>
      </c>
    </row>
    <row r="28" spans="1:16" x14ac:dyDescent="0.3">
      <c r="E28"/>
      <c r="F28" s="5" t="s">
        <v>24</v>
      </c>
      <c r="G28" s="1">
        <v>16</v>
      </c>
      <c r="K28" s="5" t="s">
        <v>24</v>
      </c>
      <c r="L28" s="3">
        <v>36.375</v>
      </c>
      <c r="O28" s="5" t="s">
        <v>6</v>
      </c>
      <c r="P28" s="3">
        <v>2</v>
      </c>
    </row>
    <row r="29" spans="1:16" x14ac:dyDescent="0.3">
      <c r="E29"/>
      <c r="F29" s="5" t="s">
        <v>25</v>
      </c>
      <c r="G29" s="1">
        <v>14</v>
      </c>
      <c r="K29" s="5" t="s">
        <v>25</v>
      </c>
      <c r="L29" s="3">
        <v>38.857142857142854</v>
      </c>
      <c r="O29" s="5" t="s">
        <v>7</v>
      </c>
      <c r="P29" s="3">
        <v>6.5</v>
      </c>
    </row>
    <row r="30" spans="1:16" x14ac:dyDescent="0.3">
      <c r="E30"/>
      <c r="F30" s="5" t="s">
        <v>26</v>
      </c>
      <c r="G30" s="1">
        <v>13</v>
      </c>
      <c r="K30" s="5" t="s">
        <v>26</v>
      </c>
      <c r="L30" s="3">
        <v>37</v>
      </c>
      <c r="O30" s="5" t="s">
        <v>8</v>
      </c>
      <c r="P30" s="3">
        <v>2.5</v>
      </c>
    </row>
    <row r="31" spans="1:16" x14ac:dyDescent="0.3">
      <c r="E31"/>
      <c r="F31" s="5" t="s">
        <v>27</v>
      </c>
      <c r="G31" s="1">
        <v>19</v>
      </c>
      <c r="K31" s="5" t="s">
        <v>27</v>
      </c>
      <c r="L31" s="3">
        <v>33</v>
      </c>
      <c r="O31" s="5" t="s">
        <v>9</v>
      </c>
      <c r="P31" s="3">
        <v>2</v>
      </c>
    </row>
    <row r="32" spans="1:16" x14ac:dyDescent="0.3">
      <c r="E32"/>
      <c r="F32" s="5" t="s">
        <v>28</v>
      </c>
      <c r="G32" s="1">
        <v>15</v>
      </c>
      <c r="K32" s="5" t="s">
        <v>28</v>
      </c>
      <c r="L32" s="3">
        <v>33.333333333333336</v>
      </c>
      <c r="O32" s="5" t="s">
        <v>10</v>
      </c>
      <c r="P32" s="3">
        <v>2</v>
      </c>
    </row>
    <row r="33" spans="1:16" x14ac:dyDescent="0.3">
      <c r="E33"/>
      <c r="F33" s="5" t="s">
        <v>29</v>
      </c>
      <c r="G33" s="1">
        <v>18</v>
      </c>
      <c r="K33" s="5" t="s">
        <v>29</v>
      </c>
      <c r="L33" s="3">
        <v>36.944444444444443</v>
      </c>
      <c r="O33" s="5" t="s">
        <v>11</v>
      </c>
      <c r="P33" s="3">
        <v>6</v>
      </c>
    </row>
    <row r="34" spans="1:16" x14ac:dyDescent="0.3">
      <c r="E34"/>
      <c r="F34" s="5" t="s">
        <v>30</v>
      </c>
      <c r="G34" s="1">
        <v>14</v>
      </c>
      <c r="K34" s="5" t="s">
        <v>30</v>
      </c>
      <c r="L34" s="3">
        <v>34.357142857142854</v>
      </c>
      <c r="O34" s="5" t="s">
        <v>12</v>
      </c>
      <c r="P34" s="3">
        <v>4.5714285714285712</v>
      </c>
    </row>
    <row r="35" spans="1:16" x14ac:dyDescent="0.3">
      <c r="E35"/>
      <c r="F35" s="5" t="s">
        <v>31</v>
      </c>
      <c r="G35" s="1">
        <v>16</v>
      </c>
      <c r="K35" s="5" t="s">
        <v>31</v>
      </c>
      <c r="L35" s="3">
        <v>39</v>
      </c>
      <c r="O35" s="5" t="s">
        <v>13</v>
      </c>
      <c r="P35" s="3">
        <v>4.333333333333333</v>
      </c>
    </row>
    <row r="36" spans="1:16" x14ac:dyDescent="0.3">
      <c r="E36"/>
      <c r="F36" s="5" t="s">
        <v>32</v>
      </c>
      <c r="G36" s="1">
        <v>13</v>
      </c>
      <c r="K36" s="5" t="s">
        <v>32</v>
      </c>
      <c r="L36" s="3">
        <v>32</v>
      </c>
      <c r="O36" s="5" t="s">
        <v>14</v>
      </c>
      <c r="P36" s="3">
        <v>7</v>
      </c>
    </row>
    <row r="37" spans="1:16" x14ac:dyDescent="0.3">
      <c r="E37"/>
      <c r="F37" s="5" t="s">
        <v>33</v>
      </c>
      <c r="G37" s="1">
        <v>12</v>
      </c>
      <c r="K37" s="5" t="s">
        <v>33</v>
      </c>
      <c r="L37" s="3">
        <v>33.5</v>
      </c>
      <c r="O37" s="5" t="s">
        <v>15</v>
      </c>
      <c r="P37" s="3">
        <v>7.666666666666667</v>
      </c>
    </row>
    <row r="38" spans="1:16" x14ac:dyDescent="0.3">
      <c r="E38"/>
      <c r="F38" s="5" t="s">
        <v>34</v>
      </c>
      <c r="G38" s="1">
        <v>19</v>
      </c>
      <c r="K38" s="5" t="s">
        <v>34</v>
      </c>
      <c r="L38" s="3">
        <v>37.89473684210526</v>
      </c>
      <c r="O38" s="5" t="s">
        <v>16</v>
      </c>
      <c r="P38" s="3">
        <v>4.5</v>
      </c>
    </row>
    <row r="39" spans="1:16" x14ac:dyDescent="0.3">
      <c r="E39"/>
      <c r="F39" s="5" t="s">
        <v>35</v>
      </c>
      <c r="G39" s="1">
        <v>19</v>
      </c>
      <c r="K39" s="5" t="s">
        <v>35</v>
      </c>
      <c r="L39" s="3">
        <v>32</v>
      </c>
      <c r="O39" s="5" t="s">
        <v>17</v>
      </c>
      <c r="P39" s="3">
        <v>4</v>
      </c>
    </row>
    <row r="40" spans="1:16" x14ac:dyDescent="0.3">
      <c r="E40"/>
      <c r="F40" s="5" t="s">
        <v>36</v>
      </c>
      <c r="G40" s="1">
        <v>15</v>
      </c>
      <c r="K40" s="5" t="s">
        <v>36</v>
      </c>
      <c r="L40" s="3">
        <v>35.133333333333333</v>
      </c>
      <c r="O40" s="5" t="s">
        <v>18</v>
      </c>
      <c r="P40" s="3">
        <v>5.25</v>
      </c>
    </row>
    <row r="41" spans="1:16" x14ac:dyDescent="0.3">
      <c r="A41" s="2" t="s">
        <v>3</v>
      </c>
      <c r="B41" t="s">
        <v>37</v>
      </c>
      <c r="C41" t="s">
        <v>40</v>
      </c>
      <c r="E41"/>
      <c r="F41" s="5" t="s">
        <v>4</v>
      </c>
      <c r="G41" s="1">
        <v>464</v>
      </c>
      <c r="K41" s="5" t="s">
        <v>4</v>
      </c>
      <c r="L41" s="3">
        <v>34.719827586206897</v>
      </c>
      <c r="O41" s="5" t="s">
        <v>19</v>
      </c>
      <c r="P41" s="3">
        <v>3.5</v>
      </c>
    </row>
    <row r="42" spans="1:16" x14ac:dyDescent="0.3">
      <c r="A42" s="5" t="s">
        <v>38</v>
      </c>
      <c r="B42" s="6">
        <v>236</v>
      </c>
      <c r="C42" s="7">
        <v>0.50862068965517238</v>
      </c>
      <c r="E42"/>
      <c r="O42" s="5" t="s">
        <v>20</v>
      </c>
      <c r="P42" s="3">
        <v>8.3333333333333339</v>
      </c>
    </row>
    <row r="43" spans="1:16" x14ac:dyDescent="0.3">
      <c r="A43" s="5" t="s">
        <v>39</v>
      </c>
      <c r="B43" s="6">
        <v>228</v>
      </c>
      <c r="C43" s="7">
        <v>0.49137931034482757</v>
      </c>
      <c r="E43"/>
      <c r="O43" s="5" t="s">
        <v>21</v>
      </c>
      <c r="P43" s="3">
        <v>4.5</v>
      </c>
    </row>
    <row r="44" spans="1:16" x14ac:dyDescent="0.3">
      <c r="A44" s="5" t="s">
        <v>4</v>
      </c>
      <c r="B44" s="3">
        <v>464</v>
      </c>
      <c r="C44" s="7">
        <v>1</v>
      </c>
      <c r="E44"/>
      <c r="O44" s="5" t="s">
        <v>22</v>
      </c>
      <c r="P44" s="3">
        <v>5</v>
      </c>
    </row>
    <row r="45" spans="1:16" x14ac:dyDescent="0.3">
      <c r="E45"/>
      <c r="O45" s="5" t="s">
        <v>23</v>
      </c>
      <c r="P45" s="3">
        <v>1</v>
      </c>
    </row>
    <row r="46" spans="1:16" x14ac:dyDescent="0.3">
      <c r="E46"/>
      <c r="O46" s="5" t="s">
        <v>24</v>
      </c>
      <c r="P46" s="3">
        <v>5.6</v>
      </c>
    </row>
    <row r="47" spans="1:16" x14ac:dyDescent="0.3">
      <c r="E47"/>
      <c r="O47" s="5" t="s">
        <v>25</v>
      </c>
      <c r="P47" s="3">
        <v>3</v>
      </c>
    </row>
    <row r="48" spans="1:16" ht="59.4" customHeight="1" x14ac:dyDescent="0.3">
      <c r="E48"/>
      <c r="G48" s="2" t="s">
        <v>3</v>
      </c>
      <c r="H48" t="s">
        <v>44</v>
      </c>
      <c r="O48" s="5" t="s">
        <v>26</v>
      </c>
      <c r="P48" s="3">
        <v>5.666666666666667</v>
      </c>
    </row>
    <row r="49" spans="1:16" x14ac:dyDescent="0.3">
      <c r="A49" s="10" t="s">
        <v>41</v>
      </c>
      <c r="B49" s="10" t="s">
        <v>42</v>
      </c>
      <c r="C49" s="10" t="s">
        <v>43</v>
      </c>
      <c r="D49" s="10"/>
      <c r="E49"/>
      <c r="G49" s="5" t="s">
        <v>45</v>
      </c>
      <c r="H49" s="6">
        <v>61</v>
      </c>
      <c r="O49" s="5" t="s">
        <v>27</v>
      </c>
      <c r="P49" s="3">
        <v>5.5</v>
      </c>
    </row>
    <row r="50" spans="1:16" ht="19.8" customHeight="1" x14ac:dyDescent="0.3">
      <c r="A50" s="9" t="str">
        <f>A43</f>
        <v>Not Admitted</v>
      </c>
      <c r="B50" s="9">
        <f t="shared" ref="B50:C50" si="0">B43</f>
        <v>228</v>
      </c>
      <c r="C50" s="8">
        <f t="shared" si="0"/>
        <v>0.49137931034482757</v>
      </c>
      <c r="D50" s="9"/>
      <c r="E50"/>
      <c r="G50" s="5" t="s">
        <v>46</v>
      </c>
      <c r="H50" s="6">
        <v>53</v>
      </c>
      <c r="O50" s="5" t="s">
        <v>28</v>
      </c>
      <c r="P50" s="3">
        <v>5.2</v>
      </c>
    </row>
    <row r="51" spans="1:16" ht="21" customHeight="1" x14ac:dyDescent="0.3">
      <c r="A51" s="9" t="str">
        <f>A42</f>
        <v>Admitted</v>
      </c>
      <c r="B51" s="9">
        <f t="shared" ref="B51:C51" si="1">B42</f>
        <v>236</v>
      </c>
      <c r="C51" s="8">
        <f t="shared" si="1"/>
        <v>0.50862068965517238</v>
      </c>
      <c r="D51" s="9"/>
      <c r="E51"/>
      <c r="G51" s="5" t="s">
        <v>47</v>
      </c>
      <c r="H51" s="6">
        <v>71</v>
      </c>
      <c r="O51" s="5" t="s">
        <v>29</v>
      </c>
      <c r="P51" s="3">
        <v>4</v>
      </c>
    </row>
    <row r="52" spans="1:16" x14ac:dyDescent="0.3">
      <c r="E52"/>
      <c r="G52" s="5" t="s">
        <v>48</v>
      </c>
      <c r="H52" s="6">
        <v>59</v>
      </c>
      <c r="O52" s="5" t="s">
        <v>30</v>
      </c>
      <c r="P52" s="3">
        <v>4.75</v>
      </c>
    </row>
    <row r="53" spans="1:16" x14ac:dyDescent="0.3">
      <c r="E53"/>
      <c r="G53" s="5" t="s">
        <v>49</v>
      </c>
      <c r="H53" s="6">
        <v>63</v>
      </c>
      <c r="O53" s="5" t="s">
        <v>31</v>
      </c>
      <c r="P53" s="3">
        <v>4.75</v>
      </c>
    </row>
    <row r="54" spans="1:16" x14ac:dyDescent="0.3">
      <c r="E54"/>
      <c r="G54" s="5" t="s">
        <v>50</v>
      </c>
      <c r="H54" s="6">
        <v>63</v>
      </c>
      <c r="O54" s="5" t="s">
        <v>32</v>
      </c>
      <c r="P54" s="3">
        <v>6.5</v>
      </c>
    </row>
    <row r="55" spans="1:16" x14ac:dyDescent="0.3">
      <c r="E55"/>
      <c r="G55" s="5" t="s">
        <v>51</v>
      </c>
      <c r="H55" s="6">
        <v>37</v>
      </c>
      <c r="O55" s="5" t="s">
        <v>33</v>
      </c>
      <c r="P55" s="3">
        <v>5</v>
      </c>
    </row>
    <row r="56" spans="1:16" x14ac:dyDescent="0.3">
      <c r="E56"/>
      <c r="G56" s="5" t="s">
        <v>52</v>
      </c>
      <c r="H56" s="6">
        <v>57</v>
      </c>
      <c r="O56" s="5" t="s">
        <v>34</v>
      </c>
      <c r="P56" s="3">
        <v>6.333333333333333</v>
      </c>
    </row>
    <row r="57" spans="1:16" x14ac:dyDescent="0.3">
      <c r="E57"/>
      <c r="G57" s="5" t="s">
        <v>4</v>
      </c>
      <c r="H57" s="3">
        <v>464</v>
      </c>
      <c r="O57" s="5" t="s">
        <v>35</v>
      </c>
      <c r="P57" s="3">
        <v>6</v>
      </c>
    </row>
    <row r="58" spans="1:16" x14ac:dyDescent="0.3">
      <c r="E58"/>
      <c r="O58" s="5" t="s">
        <v>36</v>
      </c>
      <c r="P58" s="3">
        <v>8.1666666666666661</v>
      </c>
    </row>
    <row r="59" spans="1:16" x14ac:dyDescent="0.3">
      <c r="E59"/>
      <c r="O59" s="5" t="s">
        <v>4</v>
      </c>
      <c r="P59" s="3">
        <v>4.9913043478260866</v>
      </c>
    </row>
    <row r="60" spans="1:16" x14ac:dyDescent="0.3">
      <c r="E60"/>
    </row>
    <row r="61" spans="1:16" x14ac:dyDescent="0.3">
      <c r="E61"/>
    </row>
    <row r="62" spans="1:16" x14ac:dyDescent="0.3">
      <c r="D62" s="2" t="s">
        <v>3</v>
      </c>
      <c r="E62" t="s">
        <v>55</v>
      </c>
    </row>
    <row r="63" spans="1:16" x14ac:dyDescent="0.3">
      <c r="D63" s="5" t="s">
        <v>54</v>
      </c>
      <c r="E63" s="6">
        <v>267</v>
      </c>
    </row>
    <row r="64" spans="1:16" x14ac:dyDescent="0.3">
      <c r="D64" s="5" t="s">
        <v>53</v>
      </c>
      <c r="E64" s="6">
        <v>197</v>
      </c>
    </row>
    <row r="65" spans="4:16" x14ac:dyDescent="0.3">
      <c r="D65" s="5" t="s">
        <v>4</v>
      </c>
      <c r="E65" s="6">
        <v>464</v>
      </c>
      <c r="O65" s="2" t="s">
        <v>169</v>
      </c>
    </row>
    <row r="66" spans="4:16" x14ac:dyDescent="0.3">
      <c r="E66"/>
      <c r="K66" s="2" t="s">
        <v>3</v>
      </c>
      <c r="L66" t="s">
        <v>122</v>
      </c>
      <c r="O66" t="s">
        <v>5</v>
      </c>
      <c r="P66" t="s">
        <v>4</v>
      </c>
    </row>
    <row r="67" spans="4:16" x14ac:dyDescent="0.3">
      <c r="E67"/>
      <c r="G67" s="2" t="s">
        <v>3</v>
      </c>
      <c r="H67" t="s">
        <v>121</v>
      </c>
      <c r="K67" s="5" t="s">
        <v>126</v>
      </c>
      <c r="L67" s="3">
        <v>3</v>
      </c>
    </row>
    <row r="68" spans="4:16" x14ac:dyDescent="0.3">
      <c r="E68"/>
      <c r="G68" s="5" t="s">
        <v>72</v>
      </c>
      <c r="H68" s="3">
        <v>228</v>
      </c>
      <c r="K68" s="5" t="s">
        <v>124</v>
      </c>
      <c r="L68" s="3">
        <v>8</v>
      </c>
    </row>
    <row r="69" spans="4:16" x14ac:dyDescent="0.3">
      <c r="E69"/>
      <c r="G69" s="5" t="s">
        <v>83</v>
      </c>
      <c r="H69" s="3">
        <v>236</v>
      </c>
      <c r="K69" s="5" t="s">
        <v>125</v>
      </c>
      <c r="L69" s="3">
        <v>9</v>
      </c>
    </row>
    <row r="70" spans="4:16" x14ac:dyDescent="0.3">
      <c r="E70"/>
      <c r="G70" s="5" t="s">
        <v>4</v>
      </c>
      <c r="H70" s="6">
        <v>464</v>
      </c>
      <c r="K70" s="5" t="s">
        <v>109</v>
      </c>
      <c r="L70" s="3">
        <v>11</v>
      </c>
    </row>
    <row r="71" spans="4:16" x14ac:dyDescent="0.3">
      <c r="E71"/>
      <c r="K71" s="5" t="s">
        <v>123</v>
      </c>
      <c r="L71" s="3">
        <v>12</v>
      </c>
    </row>
    <row r="72" spans="4:16" x14ac:dyDescent="0.3">
      <c r="E72"/>
      <c r="K72" s="5" t="s">
        <v>102</v>
      </c>
      <c r="L72" s="3">
        <v>54</v>
      </c>
    </row>
    <row r="73" spans="4:16" x14ac:dyDescent="0.3">
      <c r="E73"/>
      <c r="K73" s="5" t="s">
        <v>92</v>
      </c>
      <c r="L73" s="3">
        <v>87</v>
      </c>
    </row>
    <row r="74" spans="4:16" x14ac:dyDescent="0.3">
      <c r="E74"/>
      <c r="K74" s="5" t="s">
        <v>74</v>
      </c>
      <c r="L74" s="3">
        <v>280</v>
      </c>
    </row>
    <row r="75" spans="4:16" x14ac:dyDescent="0.3">
      <c r="E75"/>
      <c r="K75" s="5" t="s">
        <v>4</v>
      </c>
      <c r="L75" s="6">
        <v>464</v>
      </c>
    </row>
    <row r="76" spans="4:16" x14ac:dyDescent="0.3">
      <c r="E76"/>
    </row>
    <row r="77" spans="4:16" x14ac:dyDescent="0.3">
      <c r="E77"/>
    </row>
    <row r="78" spans="4:16" x14ac:dyDescent="0.3">
      <c r="E78"/>
    </row>
    <row r="79" spans="4:16" x14ac:dyDescent="0.3">
      <c r="E79"/>
    </row>
    <row r="80" spans="4:16" x14ac:dyDescent="0.3">
      <c r="E80"/>
    </row>
    <row r="81" spans="5:5" x14ac:dyDescent="0.3">
      <c r="E81"/>
    </row>
    <row r="82" spans="5:5" x14ac:dyDescent="0.3">
      <c r="E82"/>
    </row>
    <row r="83" spans="5:5" x14ac:dyDescent="0.3">
      <c r="E83"/>
    </row>
    <row r="84" spans="5:5" x14ac:dyDescent="0.3">
      <c r="E84"/>
    </row>
    <row r="85" spans="5:5" x14ac:dyDescent="0.3">
      <c r="E85"/>
    </row>
    <row r="86" spans="5:5" x14ac:dyDescent="0.3">
      <c r="E86"/>
    </row>
    <row r="87" spans="5:5" x14ac:dyDescent="0.3">
      <c r="E87"/>
    </row>
    <row r="88" spans="5:5" x14ac:dyDescent="0.3">
      <c r="E88"/>
    </row>
    <row r="89" spans="5:5" x14ac:dyDescent="0.3">
      <c r="E89"/>
    </row>
    <row r="90" spans="5:5" x14ac:dyDescent="0.3">
      <c r="E90"/>
    </row>
    <row r="91" spans="5:5" x14ac:dyDescent="0.3">
      <c r="E91"/>
    </row>
    <row r="92" spans="5:5" x14ac:dyDescent="0.3">
      <c r="E92"/>
    </row>
    <row r="93" spans="5:5" x14ac:dyDescent="0.3">
      <c r="E93"/>
    </row>
    <row r="94" spans="5:5" x14ac:dyDescent="0.3">
      <c r="E94"/>
    </row>
    <row r="95" spans="5:5" x14ac:dyDescent="0.3">
      <c r="E95"/>
    </row>
    <row r="96" spans="5:5" x14ac:dyDescent="0.3">
      <c r="E96"/>
    </row>
    <row r="97" spans="5:5" x14ac:dyDescent="0.3">
      <c r="E97"/>
    </row>
    <row r="98" spans="5:5" x14ac:dyDescent="0.3">
      <c r="E98"/>
    </row>
    <row r="99" spans="5:5" x14ac:dyDescent="0.3">
      <c r="E99"/>
    </row>
    <row r="100" spans="5:5" x14ac:dyDescent="0.3">
      <c r="E100"/>
    </row>
    <row r="101" spans="5:5" x14ac:dyDescent="0.3">
      <c r="E101"/>
    </row>
    <row r="102" spans="5:5" x14ac:dyDescent="0.3">
      <c r="E102"/>
    </row>
    <row r="103" spans="5:5" x14ac:dyDescent="0.3">
      <c r="E103"/>
    </row>
    <row r="104" spans="5:5" x14ac:dyDescent="0.3">
      <c r="E104"/>
    </row>
    <row r="105" spans="5:5" x14ac:dyDescent="0.3">
      <c r="E105"/>
    </row>
    <row r="106" spans="5:5" x14ac:dyDescent="0.3">
      <c r="E106"/>
    </row>
    <row r="107" spans="5:5" x14ac:dyDescent="0.3">
      <c r="E107"/>
    </row>
    <row r="108" spans="5:5" x14ac:dyDescent="0.3">
      <c r="E108"/>
    </row>
    <row r="109" spans="5:5" x14ac:dyDescent="0.3">
      <c r="E109"/>
    </row>
    <row r="110" spans="5:5" x14ac:dyDescent="0.3">
      <c r="E110"/>
    </row>
    <row r="111" spans="5:5" x14ac:dyDescent="0.3">
      <c r="E111"/>
    </row>
    <row r="112" spans="5:5" x14ac:dyDescent="0.3">
      <c r="E112"/>
    </row>
    <row r="113" spans="5:5" x14ac:dyDescent="0.3">
      <c r="E113"/>
    </row>
    <row r="114" spans="5:5" x14ac:dyDescent="0.3">
      <c r="E114"/>
    </row>
    <row r="115" spans="5:5" x14ac:dyDescent="0.3">
      <c r="E115"/>
    </row>
    <row r="116" spans="5:5" x14ac:dyDescent="0.3">
      <c r="E116"/>
    </row>
    <row r="117" spans="5:5" x14ac:dyDescent="0.3">
      <c r="E117"/>
    </row>
    <row r="118" spans="5:5" x14ac:dyDescent="0.3">
      <c r="E118"/>
    </row>
    <row r="119" spans="5:5" x14ac:dyDescent="0.3">
      <c r="E119"/>
    </row>
    <row r="120" spans="5:5" x14ac:dyDescent="0.3">
      <c r="E120"/>
    </row>
    <row r="121" spans="5:5" x14ac:dyDescent="0.3">
      <c r="E121"/>
    </row>
    <row r="122" spans="5:5" x14ac:dyDescent="0.3">
      <c r="E122"/>
    </row>
    <row r="123" spans="5:5" x14ac:dyDescent="0.3">
      <c r="E123"/>
    </row>
    <row r="124" spans="5:5" x14ac:dyDescent="0.3">
      <c r="E124"/>
    </row>
    <row r="125" spans="5:5" x14ac:dyDescent="0.3">
      <c r="E125"/>
    </row>
    <row r="126" spans="5:5" x14ac:dyDescent="0.3">
      <c r="E126"/>
    </row>
    <row r="127" spans="5:5" x14ac:dyDescent="0.3">
      <c r="E127"/>
    </row>
    <row r="128" spans="5:5" x14ac:dyDescent="0.3">
      <c r="E128"/>
    </row>
    <row r="129" spans="5:5" x14ac:dyDescent="0.3">
      <c r="E129"/>
    </row>
    <row r="130" spans="5:5" x14ac:dyDescent="0.3">
      <c r="E130"/>
    </row>
    <row r="131" spans="5:5" x14ac:dyDescent="0.3">
      <c r="E131"/>
    </row>
    <row r="132" spans="5:5" x14ac:dyDescent="0.3">
      <c r="E132"/>
    </row>
    <row r="133" spans="5:5" x14ac:dyDescent="0.3">
      <c r="E133"/>
    </row>
    <row r="134" spans="5:5" x14ac:dyDescent="0.3">
      <c r="E134"/>
    </row>
    <row r="135" spans="5:5" x14ac:dyDescent="0.3">
      <c r="E135"/>
    </row>
    <row r="136" spans="5:5" x14ac:dyDescent="0.3">
      <c r="E136"/>
    </row>
    <row r="137" spans="5:5" x14ac:dyDescent="0.3">
      <c r="E137"/>
    </row>
    <row r="138" spans="5:5" x14ac:dyDescent="0.3">
      <c r="E138"/>
    </row>
    <row r="139" spans="5:5" x14ac:dyDescent="0.3">
      <c r="E139"/>
    </row>
    <row r="140" spans="5:5" x14ac:dyDescent="0.3">
      <c r="E140"/>
    </row>
    <row r="141" spans="5:5" x14ac:dyDescent="0.3">
      <c r="E141"/>
    </row>
    <row r="142" spans="5:5" x14ac:dyDescent="0.3">
      <c r="E142"/>
    </row>
    <row r="143" spans="5:5" x14ac:dyDescent="0.3">
      <c r="E143"/>
    </row>
    <row r="144" spans="5:5" x14ac:dyDescent="0.3">
      <c r="E144"/>
    </row>
    <row r="145" spans="5:5" x14ac:dyDescent="0.3">
      <c r="E145"/>
    </row>
    <row r="146" spans="5:5" x14ac:dyDescent="0.3">
      <c r="E146"/>
    </row>
    <row r="147" spans="5:5" x14ac:dyDescent="0.3">
      <c r="E147"/>
    </row>
    <row r="148" spans="5:5" x14ac:dyDescent="0.3">
      <c r="E148"/>
    </row>
    <row r="149" spans="5:5" x14ac:dyDescent="0.3">
      <c r="E149"/>
    </row>
    <row r="150" spans="5:5" x14ac:dyDescent="0.3">
      <c r="E150"/>
    </row>
    <row r="151" spans="5:5" x14ac:dyDescent="0.3">
      <c r="E151"/>
    </row>
    <row r="152" spans="5:5" x14ac:dyDescent="0.3">
      <c r="E152"/>
    </row>
    <row r="153" spans="5:5" x14ac:dyDescent="0.3">
      <c r="E153"/>
    </row>
    <row r="154" spans="5:5" x14ac:dyDescent="0.3">
      <c r="E154"/>
    </row>
    <row r="155" spans="5:5" x14ac:dyDescent="0.3">
      <c r="E155"/>
    </row>
    <row r="156" spans="5:5" x14ac:dyDescent="0.3">
      <c r="E156"/>
    </row>
    <row r="157" spans="5:5" x14ac:dyDescent="0.3">
      <c r="E157"/>
    </row>
    <row r="158" spans="5:5" x14ac:dyDescent="0.3">
      <c r="E158"/>
    </row>
    <row r="159" spans="5:5" x14ac:dyDescent="0.3">
      <c r="E159"/>
    </row>
    <row r="160" spans="5:5" x14ac:dyDescent="0.3">
      <c r="E160"/>
    </row>
    <row r="161" spans="5:5" x14ac:dyDescent="0.3">
      <c r="E161"/>
    </row>
    <row r="162" spans="5:5" x14ac:dyDescent="0.3">
      <c r="E162"/>
    </row>
    <row r="163" spans="5:5" x14ac:dyDescent="0.3">
      <c r="E163"/>
    </row>
    <row r="164" spans="5:5" x14ac:dyDescent="0.3">
      <c r="E164"/>
    </row>
    <row r="165" spans="5:5" x14ac:dyDescent="0.3">
      <c r="E16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1A51-9D9A-4A20-9D38-28397A194ADB}">
  <dimension ref="A1"/>
  <sheetViews>
    <sheetView workbookViewId="0">
      <selection activeCell="J6" sqref="J6"/>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C647-B250-4C53-9C87-0C66F6A43188}">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5F3AC-32F3-4B0E-BE3A-828A3BA2AAF6}">
  <dimension ref="A1"/>
  <sheetViews>
    <sheetView workbookViewId="0">
      <selection activeCell="I8" sqref="I8"/>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B1CD-40D8-4EDA-A04A-A8F9535C0DE4}">
  <dimension ref="A1:P19"/>
  <sheetViews>
    <sheetView zoomScale="141" zoomScaleNormal="141" workbookViewId="0">
      <selection activeCell="H9" sqref="H9"/>
    </sheetView>
  </sheetViews>
  <sheetFormatPr defaultRowHeight="14.4" x14ac:dyDescent="0.3"/>
  <sheetData>
    <row r="1" spans="1:16" x14ac:dyDescent="0.3">
      <c r="A1" s="4"/>
      <c r="B1" s="4"/>
      <c r="C1" s="4"/>
      <c r="D1" s="4"/>
      <c r="E1" s="4"/>
      <c r="F1" s="4"/>
      <c r="G1" s="4"/>
      <c r="H1" s="4"/>
      <c r="I1" s="4"/>
      <c r="J1" s="4"/>
      <c r="K1" s="4"/>
      <c r="L1" s="4"/>
      <c r="M1" s="4"/>
      <c r="N1" s="4"/>
      <c r="O1" s="4"/>
      <c r="P1" s="4"/>
    </row>
    <row r="2" spans="1:16" x14ac:dyDescent="0.3">
      <c r="A2" s="4"/>
      <c r="B2" s="4"/>
      <c r="C2" s="4"/>
      <c r="D2" s="4"/>
      <c r="E2" s="4"/>
      <c r="F2" s="4"/>
      <c r="G2" s="4"/>
      <c r="H2" s="4"/>
      <c r="I2" s="4"/>
      <c r="J2" s="4"/>
      <c r="K2" s="4"/>
      <c r="L2" s="4"/>
      <c r="M2" s="4"/>
      <c r="N2" s="4"/>
      <c r="O2" s="4"/>
      <c r="P2" s="4"/>
    </row>
    <row r="3" spans="1:16" x14ac:dyDescent="0.3">
      <c r="A3" s="4"/>
      <c r="B3" s="4"/>
      <c r="C3" s="4"/>
      <c r="D3" s="4"/>
      <c r="E3" s="4"/>
      <c r="F3" s="4"/>
      <c r="G3" s="4"/>
      <c r="H3" s="4"/>
      <c r="I3" s="4"/>
      <c r="J3" s="4"/>
      <c r="K3" s="4"/>
      <c r="L3" s="4"/>
      <c r="M3" s="4"/>
      <c r="N3" s="4"/>
      <c r="O3" s="4"/>
      <c r="P3" s="4"/>
    </row>
    <row r="4" spans="1:16" x14ac:dyDescent="0.3">
      <c r="A4" s="4"/>
      <c r="B4" s="4"/>
      <c r="C4" s="4"/>
      <c r="D4" s="4"/>
      <c r="E4" s="4"/>
      <c r="F4" s="4"/>
      <c r="G4" s="4"/>
      <c r="H4" s="4"/>
      <c r="I4" s="4"/>
      <c r="J4" s="4"/>
      <c r="K4" s="4"/>
      <c r="L4" s="4"/>
      <c r="M4" s="4"/>
      <c r="N4" s="4"/>
      <c r="O4" s="4"/>
      <c r="P4" s="4"/>
    </row>
    <row r="5" spans="1:16" x14ac:dyDescent="0.3">
      <c r="A5" s="4"/>
      <c r="B5" s="4"/>
      <c r="C5" s="4"/>
      <c r="D5" s="4"/>
      <c r="E5" s="4"/>
      <c r="F5" s="4"/>
      <c r="G5" s="4"/>
      <c r="H5" s="4"/>
      <c r="I5" s="4"/>
      <c r="J5" s="4"/>
      <c r="K5" s="4"/>
      <c r="L5" s="4"/>
      <c r="M5" s="4"/>
      <c r="N5" s="4"/>
      <c r="O5" s="4"/>
      <c r="P5" s="4"/>
    </row>
    <row r="6" spans="1:16" x14ac:dyDescent="0.3">
      <c r="A6" s="4"/>
      <c r="B6" s="4"/>
      <c r="C6" s="4"/>
      <c r="D6" s="4"/>
      <c r="E6" s="4"/>
      <c r="F6" s="4"/>
      <c r="G6" s="4"/>
      <c r="H6" s="4"/>
      <c r="I6" s="4"/>
      <c r="J6" s="4"/>
      <c r="K6" s="4"/>
      <c r="L6" s="4"/>
      <c r="M6" s="4"/>
      <c r="N6" s="4"/>
      <c r="O6" s="4"/>
      <c r="P6" s="4"/>
    </row>
    <row r="7" spans="1:16" x14ac:dyDescent="0.3">
      <c r="A7" s="4"/>
      <c r="B7" s="4"/>
      <c r="C7" s="4"/>
      <c r="D7" s="4"/>
      <c r="E7" s="4"/>
      <c r="F7" s="4"/>
      <c r="G7" s="4"/>
      <c r="H7" s="4"/>
      <c r="I7" s="4"/>
      <c r="J7" s="4"/>
      <c r="K7" s="4"/>
      <c r="L7" s="4"/>
      <c r="M7" s="4"/>
      <c r="N7" s="4"/>
      <c r="O7" s="4"/>
      <c r="P7" s="4"/>
    </row>
    <row r="8" spans="1:16" x14ac:dyDescent="0.3">
      <c r="A8" s="4"/>
      <c r="B8" s="4"/>
      <c r="C8" s="4"/>
      <c r="D8" s="4"/>
      <c r="E8" s="4"/>
      <c r="F8" s="4"/>
      <c r="G8" s="4"/>
      <c r="H8" s="4"/>
      <c r="I8" s="4"/>
      <c r="J8" s="4"/>
      <c r="K8" s="4"/>
      <c r="L8" s="4"/>
      <c r="M8" s="4"/>
      <c r="N8" s="4"/>
      <c r="O8" s="4"/>
      <c r="P8" s="4"/>
    </row>
    <row r="9" spans="1:16" x14ac:dyDescent="0.3">
      <c r="A9" s="4"/>
      <c r="B9" s="4"/>
      <c r="C9" s="4"/>
      <c r="D9" s="4"/>
      <c r="E9" s="4"/>
      <c r="F9" s="4"/>
      <c r="G9" s="4"/>
      <c r="H9" s="4"/>
      <c r="I9" s="4"/>
      <c r="J9" s="4"/>
      <c r="K9" s="4"/>
      <c r="L9" s="4"/>
      <c r="M9" s="4"/>
      <c r="N9" s="4"/>
      <c r="O9" s="4"/>
      <c r="P9" s="4"/>
    </row>
    <row r="10" spans="1:16" x14ac:dyDescent="0.3">
      <c r="A10" s="4"/>
      <c r="B10" s="4"/>
      <c r="C10" s="4"/>
      <c r="D10" s="4"/>
      <c r="E10" s="4"/>
      <c r="F10" s="4"/>
      <c r="G10" s="4"/>
      <c r="H10" s="4"/>
      <c r="I10" s="4"/>
      <c r="J10" s="4"/>
      <c r="K10" s="4"/>
      <c r="L10" s="4"/>
      <c r="M10" s="4"/>
      <c r="N10" s="4"/>
      <c r="O10" s="4"/>
      <c r="P10" s="4"/>
    </row>
    <row r="11" spans="1:16" x14ac:dyDescent="0.3">
      <c r="A11" s="4"/>
      <c r="B11" s="4"/>
      <c r="C11" s="4"/>
      <c r="D11" s="4"/>
      <c r="E11" s="4"/>
      <c r="F11" s="4"/>
      <c r="G11" s="4"/>
      <c r="H11" s="4"/>
      <c r="I11" s="4"/>
      <c r="J11" s="4"/>
      <c r="K11" s="4"/>
      <c r="L11" s="4"/>
      <c r="M11" s="4"/>
      <c r="N11" s="4"/>
      <c r="O11" s="4"/>
      <c r="P11" s="4"/>
    </row>
    <row r="12" spans="1:16" x14ac:dyDescent="0.3">
      <c r="A12" s="4"/>
      <c r="B12" s="4"/>
      <c r="C12" s="4"/>
      <c r="D12" s="4"/>
      <c r="E12" s="4"/>
      <c r="F12" s="4"/>
      <c r="G12" s="4"/>
      <c r="H12" s="4"/>
      <c r="I12" s="4"/>
      <c r="J12" s="4"/>
      <c r="K12" s="4"/>
      <c r="L12" s="4"/>
      <c r="M12" s="4"/>
      <c r="N12" s="4"/>
      <c r="O12" s="4"/>
      <c r="P12" s="4"/>
    </row>
    <row r="13" spans="1:16" x14ac:dyDescent="0.3">
      <c r="A13" s="4"/>
      <c r="B13" s="4"/>
      <c r="C13" s="4"/>
      <c r="D13" s="4"/>
      <c r="E13" s="4"/>
      <c r="F13" s="4"/>
      <c r="G13" s="4"/>
      <c r="H13" s="4"/>
      <c r="I13" s="4"/>
      <c r="J13" s="4"/>
      <c r="K13" s="4"/>
      <c r="L13" s="4"/>
      <c r="M13" s="4"/>
      <c r="N13" s="4"/>
      <c r="O13" s="4"/>
      <c r="P13" s="4"/>
    </row>
    <row r="14" spans="1:16" x14ac:dyDescent="0.3">
      <c r="A14" s="4"/>
      <c r="B14" s="4"/>
      <c r="C14" s="4"/>
      <c r="D14" s="4"/>
      <c r="E14" s="4"/>
      <c r="F14" s="4"/>
      <c r="G14" s="4"/>
      <c r="H14" s="4"/>
      <c r="I14" s="4"/>
      <c r="J14" s="4"/>
      <c r="K14" s="4"/>
      <c r="L14" s="4"/>
      <c r="M14" s="4"/>
      <c r="N14" s="4"/>
      <c r="O14" s="4"/>
      <c r="P14" s="4"/>
    </row>
    <row r="15" spans="1:16" x14ac:dyDescent="0.3">
      <c r="A15" s="4"/>
      <c r="B15" s="4"/>
      <c r="C15" s="4"/>
      <c r="D15" s="4"/>
      <c r="E15" s="4"/>
      <c r="F15" s="4"/>
      <c r="G15" s="4"/>
      <c r="H15" s="4"/>
      <c r="I15" s="4"/>
      <c r="J15" s="4"/>
      <c r="K15" s="4"/>
      <c r="L15" s="4"/>
      <c r="M15" s="4"/>
      <c r="N15" s="4"/>
      <c r="O15" s="4"/>
      <c r="P15" s="4"/>
    </row>
    <row r="16" spans="1:16" x14ac:dyDescent="0.3">
      <c r="A16" s="4"/>
      <c r="B16" s="4"/>
      <c r="C16" s="4"/>
      <c r="D16" s="4"/>
      <c r="E16" s="4"/>
      <c r="F16" s="4"/>
      <c r="G16" s="4"/>
      <c r="H16" s="4"/>
      <c r="I16" s="4"/>
      <c r="J16" s="4"/>
      <c r="K16" s="4"/>
      <c r="L16" s="4"/>
      <c r="M16" s="4"/>
      <c r="N16" s="4"/>
      <c r="O16" s="4"/>
      <c r="P16" s="4"/>
    </row>
    <row r="17" spans="1:16" x14ac:dyDescent="0.3">
      <c r="A17" s="4"/>
      <c r="B17" s="4"/>
      <c r="C17" s="4"/>
      <c r="D17" s="4"/>
      <c r="E17" s="4"/>
      <c r="F17" s="4"/>
      <c r="G17" s="4"/>
      <c r="H17" s="4"/>
      <c r="I17" s="4"/>
      <c r="J17" s="4"/>
      <c r="K17" s="4"/>
      <c r="L17" s="4"/>
      <c r="M17" s="4"/>
      <c r="N17" s="4"/>
      <c r="O17" s="4"/>
      <c r="P17" s="4"/>
    </row>
    <row r="18" spans="1:16" x14ac:dyDescent="0.3">
      <c r="A18" s="4"/>
      <c r="B18" s="4"/>
      <c r="C18" s="4"/>
      <c r="D18" s="4"/>
      <c r="E18" s="4"/>
      <c r="F18" s="4"/>
      <c r="G18" s="4"/>
      <c r="H18" s="4"/>
      <c r="I18" s="4"/>
      <c r="J18" s="4"/>
      <c r="K18" s="4"/>
      <c r="L18" s="4"/>
      <c r="M18" s="4"/>
      <c r="N18" s="4"/>
      <c r="O18" s="4"/>
      <c r="P18" s="4"/>
    </row>
    <row r="19" spans="1:16" x14ac:dyDescent="0.3">
      <c r="A19" s="4"/>
      <c r="B19" s="4"/>
      <c r="C19" s="4"/>
      <c r="D19" s="4"/>
      <c r="E19" s="4"/>
      <c r="F19" s="4"/>
      <c r="G19" s="4"/>
      <c r="H19" s="4"/>
      <c r="I19" s="4"/>
      <c r="J19" s="4"/>
      <c r="K19" s="4"/>
      <c r="L19" s="4"/>
      <c r="M19" s="4"/>
      <c r="N19" s="4"/>
      <c r="O19" s="4"/>
      <c r="P19"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B886D66-7DD9-426D-B9DA-A1E653BBFB17}">
  <ds:schemaRefs/>
</ds:datastoreItem>
</file>

<file path=customXml/itemProps2.xml><?xml version="1.0" encoding="utf-8"?>
<ds:datastoreItem xmlns:ds="http://schemas.openxmlformats.org/officeDocument/2006/customXml" ds:itemID="{F67CE7A1-4B90-49C9-8EBF-5BEE157F040A}">
  <ds:schemaRefs/>
</ds:datastoreItem>
</file>

<file path=customXml/itemProps3.xml><?xml version="1.0" encoding="utf-8"?>
<ds:datastoreItem xmlns:ds="http://schemas.openxmlformats.org/officeDocument/2006/customXml" ds:itemID="{0056D888-4461-431D-914F-A5D13D222F12}">
  <ds:schemaRefs/>
</ds:datastoreItem>
</file>

<file path=customXml/itemProps4.xml><?xml version="1.0" encoding="utf-8"?>
<ds:datastoreItem xmlns:ds="http://schemas.openxmlformats.org/officeDocument/2006/customXml" ds:itemID="{83980FF8-992A-42FD-85DD-082F84EA0BA3}">
  <ds:schemaRefs/>
</ds:datastoreItem>
</file>

<file path=customXml/itemProps5.xml><?xml version="1.0" encoding="utf-8"?>
<ds:datastoreItem xmlns:ds="http://schemas.openxmlformats.org/officeDocument/2006/customXml" ds:itemID="{A88178C0-FF82-4151-BF52-3797EC54E6F8}">
  <ds:schemaRefs/>
</ds:datastoreItem>
</file>

<file path=customXml/itemProps6.xml><?xml version="1.0" encoding="utf-8"?>
<ds:datastoreItem xmlns:ds="http://schemas.openxmlformats.org/officeDocument/2006/customXml" ds:itemID="{848ABB9F-BEBC-4231-BD7A-35B2ED6895E9}">
  <ds:schemaRefs/>
</ds:datastoreItem>
</file>

<file path=customXml/itemProps7.xml><?xml version="1.0" encoding="utf-8"?>
<ds:datastoreItem xmlns:ds="http://schemas.openxmlformats.org/officeDocument/2006/customXml" ds:itemID="{69107F4B-5B10-4C35-956E-2948B79774F2}">
  <ds:schemaRefs/>
</ds:datastoreItem>
</file>

<file path=customXml/itemProps8.xml><?xml version="1.0" encoding="utf-8"?>
<ds:datastoreItem xmlns:ds="http://schemas.openxmlformats.org/officeDocument/2006/customXml" ds:itemID="{656794BD-BBC4-403E-96C9-6B32DE42A459}">
  <ds:schemaRefs/>
</ds:datastoreItem>
</file>

<file path=customXml/itemProps9.xml><?xml version="1.0" encoding="utf-8"?>
<ds:datastoreItem xmlns:ds="http://schemas.openxmlformats.org/officeDocument/2006/customXml" ds:itemID="{5DA2D86B-B3F1-4877-9364-F15A94291072}">
  <ds:schemaRefs/>
</ds:datastoreItem>
</file>

<file path=customXml/itemProps10.xml><?xml version="1.0" encoding="utf-8"?>
<ds:datastoreItem xmlns:ds="http://schemas.openxmlformats.org/officeDocument/2006/customXml" ds:itemID="{16BA5F3F-FF09-49AA-8DE1-36C9C1BB38DE}">
  <ds:schemaRefs/>
</ds:datastoreItem>
</file>

<file path=customXml/itemProps11.xml><?xml version="1.0" encoding="utf-8"?>
<ds:datastoreItem xmlns:ds="http://schemas.openxmlformats.org/officeDocument/2006/customXml" ds:itemID="{0780EB94-A45E-4A62-B1DB-270891AC28D3}">
  <ds:schemaRefs/>
</ds:datastoreItem>
</file>

<file path=customXml/itemProps12.xml><?xml version="1.0" encoding="utf-8"?>
<ds:datastoreItem xmlns:ds="http://schemas.openxmlformats.org/officeDocument/2006/customXml" ds:itemID="{ABB9B3B5-66E7-49B5-AB64-F0354A79AB29}">
  <ds:schemaRefs/>
</ds:datastoreItem>
</file>

<file path=customXml/itemProps13.xml><?xml version="1.0" encoding="utf-8"?>
<ds:datastoreItem xmlns:ds="http://schemas.openxmlformats.org/officeDocument/2006/customXml" ds:itemID="{1C31C940-BC75-4BDB-9CD4-F04CC176E45F}">
  <ds:schemaRefs>
    <ds:schemaRef ds:uri="http://schemas.microsoft.com/DataMashup"/>
  </ds:schemaRefs>
</ds:datastoreItem>
</file>

<file path=customXml/itemProps14.xml><?xml version="1.0" encoding="utf-8"?>
<ds:datastoreItem xmlns:ds="http://schemas.openxmlformats.org/officeDocument/2006/customXml" ds:itemID="{570DCF7E-ED00-4659-90A2-4CCAF1E9D3BB}">
  <ds:schemaRefs/>
</ds:datastoreItem>
</file>

<file path=customXml/itemProps15.xml><?xml version="1.0" encoding="utf-8"?>
<ds:datastoreItem xmlns:ds="http://schemas.openxmlformats.org/officeDocument/2006/customXml" ds:itemID="{677A7AB7-E120-41AD-B864-B6C7B041C6CF}">
  <ds:schemaRefs/>
</ds:datastoreItem>
</file>

<file path=customXml/itemProps16.xml><?xml version="1.0" encoding="utf-8"?>
<ds:datastoreItem xmlns:ds="http://schemas.openxmlformats.org/officeDocument/2006/customXml" ds:itemID="{34E4A1A7-53C4-4AC8-9E78-129017CA0E89}">
  <ds:schemaRefs/>
</ds:datastoreItem>
</file>

<file path=customXml/itemProps17.xml><?xml version="1.0" encoding="utf-8"?>
<ds:datastoreItem xmlns:ds="http://schemas.openxmlformats.org/officeDocument/2006/customXml" ds:itemID="{C9B7DD22-7DF8-4D03-AFB1-972CB3A9C4BC}">
  <ds:schemaRefs/>
</ds:datastoreItem>
</file>

<file path=customXml/itemProps18.xml><?xml version="1.0" encoding="utf-8"?>
<ds:datastoreItem xmlns:ds="http://schemas.openxmlformats.org/officeDocument/2006/customXml" ds:itemID="{AC4326C9-3431-450D-984E-4EA1FC90DE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Sheet7</vt:lpstr>
      <vt:lpstr>Pivot Report</vt:lpstr>
      <vt:lpstr>Sheet5</vt:lpstr>
      <vt:lpstr>Sheet4</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 Prakash Chaudhary</dc:creator>
  <cp:lastModifiedBy>Shiv Prakash Chaudhary</cp:lastModifiedBy>
  <dcterms:created xsi:type="dcterms:W3CDTF">2025-11-02T14:43:53Z</dcterms:created>
  <dcterms:modified xsi:type="dcterms:W3CDTF">2025-11-02T21:59:18Z</dcterms:modified>
</cp:coreProperties>
</file>